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ane Tracey\Downloads\Javian stuf\"/>
    </mc:Choice>
  </mc:AlternateContent>
  <bookViews>
    <workbookView xWindow="0" yWindow="0" windowWidth="19180" windowHeight="6330" activeTab="2"/>
  </bookViews>
  <sheets>
    <sheet name="Helpdesk Timesheet" sheetId="1" r:id="rId1"/>
    <sheet name="Bloomberg Support Timesheet" sheetId="2" r:id="rId2"/>
    <sheet name="PSU SUPPORT TIMEHSEET" sheetId="3" r:id="rId3"/>
    <sheet name="Event Support Timehseet" sheetId="4" r:id="rId4"/>
  </sheets>
  <calcPr calcId="162913"/>
</workbook>
</file>

<file path=xl/calcChain.xml><?xml version="1.0" encoding="utf-8"?>
<calcChain xmlns="http://schemas.openxmlformats.org/spreadsheetml/2006/main">
  <c r="F12" i="4" l="1"/>
  <c r="E12" i="4"/>
  <c r="E7" i="4"/>
  <c r="E17" i="1"/>
  <c r="F17" i="1"/>
  <c r="E15" i="1"/>
  <c r="F15" i="1" s="1"/>
  <c r="E12" i="1" l="1"/>
  <c r="F12" i="1" s="1"/>
  <c r="E13" i="1"/>
  <c r="F13" i="1" s="1"/>
  <c r="E14" i="1"/>
  <c r="F14" i="1" s="1"/>
  <c r="E11" i="1"/>
  <c r="F11" i="1" s="1"/>
  <c r="E16" i="1" l="1"/>
  <c r="F16" i="1" l="1"/>
  <c r="F7" i="4"/>
  <c r="E7" i="3"/>
  <c r="E12" i="3" s="1"/>
  <c r="E7" i="2"/>
  <c r="E12" i="2" s="1"/>
  <c r="E10" i="1"/>
  <c r="F10" i="1" s="1"/>
  <c r="E9" i="1"/>
  <c r="F9" i="1" s="1"/>
  <c r="E8" i="1"/>
  <c r="E7" i="1"/>
  <c r="F7" i="1" s="1"/>
  <c r="F8" i="1" l="1"/>
  <c r="F7" i="3"/>
  <c r="F12" i="3" s="1"/>
  <c r="F7" i="2"/>
  <c r="F12" i="2" s="1"/>
</calcChain>
</file>

<file path=xl/sharedStrings.xml><?xml version="1.0" encoding="utf-8"?>
<sst xmlns="http://schemas.openxmlformats.org/spreadsheetml/2006/main" count="81" uniqueCount="32">
  <si>
    <r>
      <rPr>
        <b/>
        <sz val="11"/>
        <color rgb="FF000000"/>
        <rFont val="Calibri"/>
      </rPr>
      <t xml:space="preserve">Javian Saunders
</t>
    </r>
    <r>
      <rPr>
        <b/>
        <sz val="9"/>
        <color rgb="FF000000"/>
        <rFont val="Calibri"/>
      </rPr>
      <t>Technical Support Representative</t>
    </r>
  </si>
  <si>
    <t>Address: Lot 155 3 East Greater Portmore
Phone: (876) 325 - 0582
Email: javiansaunders373@gmail.com
TRN: 130 - 434 - 086</t>
  </si>
  <si>
    <t xml:space="preserve">TO:Ms. Merlyn Reed Director, Finance and Administration
          Mona School of Business
          The Alister McIntyre Complex
          The University of the West Indies, Mona
          Kingston 7, Jamaica, W.I.
</t>
  </si>
  <si>
    <t>DATE</t>
  </si>
  <si>
    <t>DESCRIPTION</t>
  </si>
  <si>
    <t>START</t>
  </si>
  <si>
    <t>END</t>
  </si>
  <si>
    <t>HOURS</t>
  </si>
  <si>
    <t>LINE TOTAL (516/Hr)</t>
  </si>
  <si>
    <t>Helpdesk</t>
  </si>
  <si>
    <r>
      <rPr>
        <b/>
        <i/>
        <sz val="8"/>
        <color rgb="FF000000"/>
        <rFont val="Calibri"/>
      </rPr>
      <t>Submitted By:</t>
    </r>
    <r>
      <rPr>
        <sz val="8"/>
        <color rgb="FF000000"/>
        <rFont val="Calibri"/>
      </rPr>
      <t xml:space="preserve">
______________________________
</t>
    </r>
    <r>
      <rPr>
        <b/>
        <sz val="8"/>
        <color rgb="FF000000"/>
        <rFont val="Calibri"/>
      </rPr>
      <t xml:space="preserve">Date (dd/mm/yy): </t>
    </r>
    <r>
      <rPr>
        <sz val="8"/>
        <color rgb="FF000000"/>
        <rFont val="Calibri"/>
      </rPr>
      <t xml:space="preserve">
</t>
    </r>
  </si>
  <si>
    <t xml:space="preserve">Verified By:
____________________________
Date (dd/mm/yy): ____/____/____
</t>
  </si>
  <si>
    <t xml:space="preserve">Approved By:
____________________________
Date (dd/mm/yy): ____/____/____
</t>
  </si>
  <si>
    <t>THANK YOU FOR YOUR BUSINESS!</t>
  </si>
  <si>
    <r>
      <rPr>
        <b/>
        <sz val="11"/>
        <color rgb="FF000000"/>
        <rFont val="Calibri"/>
      </rPr>
      <t xml:space="preserve">&lt;YOUR NAME&gt;
</t>
    </r>
    <r>
      <rPr>
        <b/>
        <sz val="9"/>
        <color rgb="FF000000"/>
        <rFont val="Calibri"/>
      </rPr>
      <t>Technical Support Representative</t>
    </r>
  </si>
  <si>
    <t>INVOICE# &lt;initials&gt; 2026-00-00&lt;month,day submitted&gt;</t>
  </si>
  <si>
    <t>26-month-day &lt;last day&gt;</t>
  </si>
  <si>
    <t>Address: &lt;your address&gt;
Phone: &lt;your number&gt;
Email: &lt;your email&gt;
TRN:&lt;your TRN&gt;</t>
  </si>
  <si>
    <t>Bloomberg Support</t>
  </si>
  <si>
    <r>
      <rPr>
        <b/>
        <i/>
        <sz val="8"/>
        <color rgb="FF000000"/>
        <rFont val="Calibri"/>
      </rPr>
      <t>Submitted By:</t>
    </r>
    <r>
      <rPr>
        <sz val="8"/>
        <color rgb="FF000000"/>
        <rFont val="Calibri"/>
      </rPr>
      <t xml:space="preserve">
______________________________
&lt;your name&gt;
</t>
    </r>
    <r>
      <rPr>
        <b/>
        <sz val="8"/>
        <color rgb="FF000000"/>
        <rFont val="Calibri"/>
      </rPr>
      <t xml:space="preserve">Date (dd/mm/yy): </t>
    </r>
    <r>
      <rPr>
        <sz val="8"/>
        <color rgb="FF000000"/>
        <rFont val="Calibri"/>
      </rPr>
      <t xml:space="preserve">
</t>
    </r>
  </si>
  <si>
    <t>!!PLEASE DELETE ALL RED WRITING BEFORE PRINTING!!!</t>
  </si>
  <si>
    <t>NOTE: 
1.  Replace your name..with your actual name and the respective dates
2. To avoid delays for payments, please triple check that your times and totals are correct</t>
  </si>
  <si>
    <r>
      <rPr>
        <b/>
        <sz val="11"/>
        <color rgb="FF000000"/>
        <rFont val="Calibri"/>
      </rPr>
      <t xml:space="preserve">&lt;YOUR NAME&gt;
</t>
    </r>
    <r>
      <rPr>
        <b/>
        <sz val="9"/>
        <color rgb="FF000000"/>
        <rFont val="Calibri"/>
      </rPr>
      <t>Technical Support Representative</t>
    </r>
  </si>
  <si>
    <t>INVOICE# &lt;initals&gt; 2026-00-00&lt;month,day submitted&gt;</t>
  </si>
  <si>
    <t>Address: &lt;your adress
Phone: &lt;your number&gt;
Email: &lt;your email&gt;
TRN:&lt;your TRN&gt;</t>
  </si>
  <si>
    <t>PSU Support:&lt;class name&gt;</t>
  </si>
  <si>
    <r>
      <rPr>
        <b/>
        <i/>
        <sz val="8"/>
        <color rgb="FF000000"/>
        <rFont val="Calibri"/>
      </rPr>
      <t>Submitted By:</t>
    </r>
    <r>
      <rPr>
        <sz val="8"/>
        <color rgb="FF000000"/>
        <rFont val="Calibri"/>
      </rPr>
      <t xml:space="preserve">
______________________________
&lt;your name&gt;
</t>
    </r>
    <r>
      <rPr>
        <b/>
        <sz val="8"/>
        <color rgb="FF000000"/>
        <rFont val="Calibri"/>
      </rPr>
      <t xml:space="preserve">Date (dd/mm/yy): </t>
    </r>
    <r>
      <rPr>
        <sz val="8"/>
        <color rgb="FF000000"/>
        <rFont val="Calibri"/>
      </rPr>
      <t xml:space="preserve">
</t>
    </r>
  </si>
  <si>
    <t xml:space="preserve">NOTE: 
1.  Replace your name..with your actual name and the respective dates
2. If you completed multiple PSU classes, please separate each class into its own sheet and submit a timesheet for each class.
3. To avoid delays for payments, please triple check that your times and totals are correct. </t>
  </si>
  <si>
    <t>TOTALS</t>
  </si>
  <si>
    <t>INVOICE# (JS) 2026-05-02</t>
  </si>
  <si>
    <t xml:space="preserve">26-05-30 </t>
  </si>
  <si>
    <t>Event Support: Graduate Programmes Virtual Information Session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</si>
</sst>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\$#,##0.00_);[Red]&quot;($&quot;#,##0.00\)"/>
  </numFmts>
  <fonts count="18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name val="Arial"/>
    </font>
    <font>
      <i/>
      <sz val="11"/>
      <color rgb="FF000000"/>
      <name val="Calibri"/>
    </font>
    <font>
      <sz val="8"/>
      <color rgb="FF000000"/>
      <name val="Calibri"/>
    </font>
    <font>
      <sz val="11"/>
      <color rgb="FF000000"/>
      <name val="Calibri"/>
    </font>
    <font>
      <b/>
      <sz val="7"/>
      <color rgb="FF000000"/>
      <name val="Arial"/>
    </font>
    <font>
      <sz val="8"/>
      <color theme="1"/>
      <name val="Trebuchet MS"/>
    </font>
    <font>
      <sz val="11"/>
      <color theme="1"/>
      <name val="Calibri"/>
    </font>
    <font>
      <sz val="8"/>
      <color rgb="FF000000"/>
      <name val="Trebuchet MS"/>
    </font>
    <font>
      <b/>
      <sz val="8"/>
      <color rgb="FF000000"/>
      <name val="Calibri"/>
    </font>
    <font>
      <b/>
      <sz val="8"/>
      <color rgb="FF000000"/>
      <name val="Trebuchet MS"/>
    </font>
    <font>
      <sz val="10"/>
      <color rgb="FFFF0000"/>
      <name val="Arial"/>
      <scheme val="minor"/>
    </font>
    <font>
      <b/>
      <sz val="9"/>
      <color rgb="FF000000"/>
      <name val="Calibri"/>
    </font>
    <font>
      <b/>
      <i/>
      <sz val="8"/>
      <color rgb="FF000000"/>
      <name val="Calibri"/>
    </font>
    <font>
      <b/>
      <sz val="8"/>
      <color rgb="FF000000"/>
      <name val="Trebuchet MS"/>
      <family val="2"/>
    </font>
    <font>
      <sz val="10"/>
      <color rgb="FFFF0000"/>
      <name val="Arial"/>
      <family val="2"/>
      <scheme val="minor"/>
    </font>
    <font>
      <b/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B9CA"/>
        <bgColor rgb="FFADB9CA"/>
      </patternFill>
    </fill>
    <fill>
      <patternFill patternType="solid">
        <fgColor rgb="FFE4EAF4"/>
        <bgColor rgb="FFE4EAF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center" wrapText="1"/>
    </xf>
    <xf numFmtId="0" fontId="7" fillId="0" borderId="2" xfId="0" applyFont="1" applyBorder="1" applyAlignment="1">
      <alignment wrapText="1"/>
    </xf>
    <xf numFmtId="164" fontId="7" fillId="0" borderId="2" xfId="0" applyNumberFormat="1" applyFont="1" applyBorder="1" applyAlignment="1">
      <alignment horizontal="right" wrapText="1"/>
    </xf>
    <xf numFmtId="2" fontId="7" fillId="0" borderId="2" xfId="0" applyNumberFormat="1" applyFont="1" applyBorder="1" applyAlignment="1">
      <alignment horizontal="right" wrapText="1"/>
    </xf>
    <xf numFmtId="165" fontId="7" fillId="0" borderId="2" xfId="0" applyNumberFormat="1" applyFont="1" applyBorder="1" applyAlignment="1">
      <alignment horizontal="right" wrapText="1"/>
    </xf>
    <xf numFmtId="0" fontId="8" fillId="0" borderId="0" xfId="0" applyFont="1"/>
    <xf numFmtId="0" fontId="5" fillId="0" borderId="0" xfId="0" applyFont="1" applyAlignment="1">
      <alignment vertical="center"/>
    </xf>
    <xf numFmtId="0" fontId="9" fillId="0" borderId="2" xfId="0" applyFont="1" applyBorder="1" applyAlignment="1">
      <alignment horizontal="left" vertical="center" wrapText="1"/>
    </xf>
    <xf numFmtId="14" fontId="9" fillId="0" borderId="10" xfId="0" applyNumberFormat="1" applyFont="1" applyBorder="1" applyAlignment="1">
      <alignment horizontal="center" vertical="center" wrapText="1"/>
    </xf>
    <xf numFmtId="2" fontId="10" fillId="0" borderId="10" xfId="0" applyNumberFormat="1" applyFont="1" applyBorder="1" applyAlignment="1">
      <alignment horizontal="right" wrapText="1"/>
    </xf>
    <xf numFmtId="165" fontId="11" fillId="0" borderId="10" xfId="0" applyNumberFormat="1" applyFont="1" applyBorder="1" applyAlignment="1">
      <alignment horizontal="right" wrapText="1"/>
    </xf>
    <xf numFmtId="0" fontId="12" fillId="0" borderId="0" xfId="0" applyFont="1" applyAlignment="1"/>
    <xf numFmtId="0" fontId="12" fillId="0" borderId="0" xfId="0" applyFont="1"/>
    <xf numFmtId="165" fontId="8" fillId="0" borderId="0" xfId="0" applyNumberFormat="1" applyFont="1"/>
    <xf numFmtId="0" fontId="16" fillId="0" borderId="0" xfId="0" applyFont="1" applyAlignment="1"/>
    <xf numFmtId="0" fontId="5" fillId="2" borderId="13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10" fillId="0" borderId="3" xfId="0" applyFont="1" applyBorder="1" applyAlignment="1">
      <alignment horizontal="left" vertical="center" wrapText="1"/>
    </xf>
    <xf numFmtId="0" fontId="2" fillId="0" borderId="5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6" xfId="0" applyFont="1" applyBorder="1"/>
    <xf numFmtId="0" fontId="2" fillId="0" borderId="7" xfId="0" applyFont="1" applyBorder="1"/>
    <xf numFmtId="0" fontId="1" fillId="2" borderId="1" xfId="0" applyFont="1" applyFill="1" applyBorder="1" applyAlignment="1">
      <alignment horizontal="left" wrapText="1"/>
    </xf>
    <xf numFmtId="0" fontId="2" fillId="0" borderId="2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wrapText="1"/>
    </xf>
    <xf numFmtId="0" fontId="2" fillId="0" borderId="4" xfId="0" applyFont="1" applyBorder="1"/>
    <xf numFmtId="0" fontId="4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wrapText="1"/>
    </xf>
    <xf numFmtId="0" fontId="2" fillId="0" borderId="8" xfId="0" applyFont="1" applyBorder="1"/>
    <xf numFmtId="0" fontId="15" fillId="0" borderId="1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AF6"/>
  </sheetPr>
  <dimension ref="A1:Z999"/>
  <sheetViews>
    <sheetView topLeftCell="A10" workbookViewId="0">
      <selection activeCell="E17" sqref="E17"/>
    </sheetView>
  </sheetViews>
  <sheetFormatPr defaultColWidth="12.6328125" defaultRowHeight="15.75" customHeight="1" x14ac:dyDescent="0.25"/>
  <cols>
    <col min="1" max="1" width="9.08984375" customWidth="1"/>
    <col min="2" max="2" width="28.08984375" customWidth="1"/>
    <col min="3" max="3" width="13" customWidth="1"/>
    <col min="4" max="4" width="12.54296875" customWidth="1"/>
    <col min="5" max="5" width="9.36328125" customWidth="1"/>
    <col min="6" max="6" width="12.26953125" customWidth="1"/>
    <col min="7" max="7" width="7.7265625" customWidth="1"/>
    <col min="8" max="8" width="10.7265625" customWidth="1"/>
    <col min="9" max="9" width="10" customWidth="1"/>
    <col min="10" max="10" width="45" customWidth="1"/>
    <col min="11" max="11" width="7.7265625" customWidth="1"/>
    <col min="12" max="12" width="10.7265625" customWidth="1"/>
    <col min="13" max="26" width="6.453125" customWidth="1"/>
  </cols>
  <sheetData>
    <row r="1" spans="1:26" ht="27.75" customHeight="1" x14ac:dyDescent="0.3">
      <c r="A1" s="27" t="s">
        <v>0</v>
      </c>
      <c r="B1" s="28"/>
      <c r="C1" s="29" t="s">
        <v>29</v>
      </c>
      <c r="D1" s="28"/>
      <c r="E1" s="30" t="s">
        <v>30</v>
      </c>
      <c r="F1" s="28"/>
    </row>
    <row r="2" spans="1:26" ht="47.25" customHeight="1" x14ac:dyDescent="0.25">
      <c r="A2" s="31" t="s">
        <v>1</v>
      </c>
      <c r="B2" s="32"/>
      <c r="C2" s="32"/>
      <c r="D2" s="32"/>
      <c r="E2" s="32"/>
      <c r="F2" s="22"/>
    </row>
    <row r="3" spans="1:26" ht="18" customHeight="1" x14ac:dyDescent="0.25">
      <c r="A3" s="33" t="s">
        <v>2</v>
      </c>
      <c r="B3" s="22"/>
      <c r="C3" s="34"/>
      <c r="D3" s="32"/>
      <c r="E3" s="32"/>
      <c r="F3" s="22"/>
    </row>
    <row r="4" spans="1:26" ht="45.75" customHeight="1" x14ac:dyDescent="0.25">
      <c r="A4" s="25"/>
      <c r="B4" s="26"/>
      <c r="C4" s="35"/>
      <c r="D4" s="35"/>
      <c r="E4" s="35"/>
      <c r="F4" s="26"/>
    </row>
    <row r="5" spans="1:26" ht="18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2" t="s">
        <v>8</v>
      </c>
    </row>
    <row r="6" spans="1:26" ht="12.5" x14ac:dyDescent="0.25">
      <c r="A6" s="1"/>
      <c r="B6" s="1"/>
      <c r="C6" s="1"/>
      <c r="D6" s="1"/>
      <c r="E6" s="1"/>
      <c r="F6" s="1"/>
    </row>
    <row r="7" spans="1:26" ht="24" customHeight="1" x14ac:dyDescent="0.35">
      <c r="A7" s="3">
        <v>46146</v>
      </c>
      <c r="B7" s="4" t="s">
        <v>9</v>
      </c>
      <c r="C7" s="5">
        <v>0.5</v>
      </c>
      <c r="D7" s="5">
        <v>0.875</v>
      </c>
      <c r="E7" s="6">
        <f t="shared" ref="E7:E16" si="0">ABS(C7*24-D7*24)</f>
        <v>9</v>
      </c>
      <c r="F7" s="7">
        <f t="shared" ref="F7:F16" si="1">E7*516</f>
        <v>4644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4" customHeight="1" x14ac:dyDescent="0.35">
      <c r="A8" s="3">
        <v>46153</v>
      </c>
      <c r="B8" s="4" t="s">
        <v>9</v>
      </c>
      <c r="C8" s="5">
        <v>0.5</v>
      </c>
      <c r="D8" s="5">
        <v>0.875</v>
      </c>
      <c r="E8" s="6">
        <f t="shared" si="0"/>
        <v>9</v>
      </c>
      <c r="F8" s="7">
        <f t="shared" si="1"/>
        <v>4644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4" customHeight="1" x14ac:dyDescent="0.35">
      <c r="A9" s="3">
        <v>46154</v>
      </c>
      <c r="B9" s="4" t="s">
        <v>9</v>
      </c>
      <c r="C9" s="5">
        <v>0.33333333333333331</v>
      </c>
      <c r="D9" s="5">
        <v>0.875</v>
      </c>
      <c r="E9" s="6">
        <f t="shared" si="0"/>
        <v>13</v>
      </c>
      <c r="F9" s="7">
        <f t="shared" si="1"/>
        <v>6708</v>
      </c>
      <c r="G9" s="8"/>
      <c r="H9" s="16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4" customHeight="1" x14ac:dyDescent="0.35">
      <c r="A10" s="3">
        <v>46125</v>
      </c>
      <c r="B10" s="4" t="s">
        <v>9</v>
      </c>
      <c r="C10" s="5">
        <v>0.58333333333333337</v>
      </c>
      <c r="D10" s="5">
        <v>0.875</v>
      </c>
      <c r="E10" s="6">
        <f t="shared" si="0"/>
        <v>7</v>
      </c>
      <c r="F10" s="7">
        <f t="shared" si="1"/>
        <v>3612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7.75" customHeight="1" x14ac:dyDescent="0.35">
      <c r="A11" s="3">
        <v>46160</v>
      </c>
      <c r="B11" s="4" t="s">
        <v>9</v>
      </c>
      <c r="C11" s="5">
        <v>0.5</v>
      </c>
      <c r="D11" s="5">
        <v>0.875</v>
      </c>
      <c r="E11" s="6">
        <f t="shared" si="0"/>
        <v>9</v>
      </c>
      <c r="F11" s="7">
        <f t="shared" si="1"/>
        <v>4644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7.75" customHeight="1" x14ac:dyDescent="0.35">
      <c r="A12" s="3">
        <v>46161</v>
      </c>
      <c r="B12" s="4" t="s">
        <v>9</v>
      </c>
      <c r="C12" s="5">
        <v>0.54166666666666696</v>
      </c>
      <c r="D12" s="5">
        <v>0.875</v>
      </c>
      <c r="E12" s="6">
        <f t="shared" si="0"/>
        <v>7.9999999999999929</v>
      </c>
      <c r="F12" s="7">
        <f t="shared" si="1"/>
        <v>4127.9999999999964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27.75" customHeight="1" x14ac:dyDescent="0.35">
      <c r="A13" s="3">
        <v>46162</v>
      </c>
      <c r="B13" s="4" t="s">
        <v>9</v>
      </c>
      <c r="C13" s="5">
        <v>0.45833333333333331</v>
      </c>
      <c r="D13" s="5">
        <v>0.875</v>
      </c>
      <c r="E13" s="6">
        <f t="shared" si="0"/>
        <v>10</v>
      </c>
      <c r="F13" s="7">
        <f t="shared" si="1"/>
        <v>5160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27.75" customHeight="1" x14ac:dyDescent="0.35">
      <c r="A14" s="3">
        <v>46163</v>
      </c>
      <c r="B14" s="4" t="s">
        <v>9</v>
      </c>
      <c r="C14" s="5">
        <v>0.58333333333333337</v>
      </c>
      <c r="D14" s="5">
        <v>0.79166666666666663</v>
      </c>
      <c r="E14" s="6">
        <f t="shared" si="0"/>
        <v>5</v>
      </c>
      <c r="F14" s="7">
        <f t="shared" si="1"/>
        <v>2580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7.75" customHeight="1" x14ac:dyDescent="0.35">
      <c r="A15" s="3">
        <v>46164</v>
      </c>
      <c r="B15" s="4" t="s">
        <v>9</v>
      </c>
      <c r="C15" s="5">
        <v>0.45833333333333331</v>
      </c>
      <c r="D15" s="5">
        <v>0.70833333333333337</v>
      </c>
      <c r="E15" s="6">
        <f t="shared" si="0"/>
        <v>6</v>
      </c>
      <c r="F15" s="7">
        <f t="shared" si="1"/>
        <v>3096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27.75" customHeight="1" x14ac:dyDescent="0.35">
      <c r="A16" s="3">
        <v>46169</v>
      </c>
      <c r="B16" s="4" t="s">
        <v>9</v>
      </c>
      <c r="C16" s="5">
        <v>0.58333333333333337</v>
      </c>
      <c r="D16" s="5">
        <v>0.875</v>
      </c>
      <c r="E16" s="6">
        <f t="shared" si="0"/>
        <v>7</v>
      </c>
      <c r="F16" s="7">
        <f t="shared" si="1"/>
        <v>3612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6" ht="16" customHeight="1" x14ac:dyDescent="0.35">
      <c r="B17" s="36" t="s">
        <v>28</v>
      </c>
      <c r="C17" s="37"/>
      <c r="D17" s="38"/>
      <c r="E17" s="12">
        <f>SUM(E7:E16)</f>
        <v>83</v>
      </c>
      <c r="F17" s="13">
        <f>SUM(F7:F16)</f>
        <v>42828</v>
      </c>
    </row>
    <row r="18" spans="1:6" ht="12.5" x14ac:dyDescent="0.25">
      <c r="A18" s="33" t="s">
        <v>10</v>
      </c>
      <c r="B18" s="22"/>
      <c r="C18" s="21" t="s">
        <v>11</v>
      </c>
      <c r="D18" s="22"/>
      <c r="E18" s="21" t="s">
        <v>12</v>
      </c>
      <c r="F18" s="22"/>
    </row>
    <row r="19" spans="1:6" ht="12.5" x14ac:dyDescent="0.25">
      <c r="A19" s="23"/>
      <c r="B19" s="24"/>
      <c r="C19" s="23"/>
      <c r="D19" s="24"/>
      <c r="E19" s="23"/>
      <c r="F19" s="24"/>
    </row>
    <row r="20" spans="1:6" ht="12.5" x14ac:dyDescent="0.25">
      <c r="A20" s="23"/>
      <c r="B20" s="24"/>
      <c r="C20" s="23"/>
      <c r="D20" s="24"/>
      <c r="E20" s="23"/>
      <c r="F20" s="24"/>
    </row>
    <row r="21" spans="1:6" ht="12.5" x14ac:dyDescent="0.25">
      <c r="A21" s="23"/>
      <c r="B21" s="24"/>
      <c r="C21" s="23"/>
      <c r="D21" s="24"/>
      <c r="E21" s="23"/>
      <c r="F21" s="24"/>
    </row>
    <row r="22" spans="1:6" ht="12.5" x14ac:dyDescent="0.25">
      <c r="A22" s="23"/>
      <c r="B22" s="24"/>
      <c r="C22" s="23"/>
      <c r="D22" s="24"/>
      <c r="E22" s="23"/>
      <c r="F22" s="24"/>
    </row>
    <row r="23" spans="1:6" ht="12.5" x14ac:dyDescent="0.25">
      <c r="A23" s="23"/>
      <c r="B23" s="24"/>
      <c r="C23" s="23"/>
      <c r="D23" s="24"/>
      <c r="E23" s="23"/>
      <c r="F23" s="24"/>
    </row>
    <row r="24" spans="1:6" ht="33.5" customHeight="1" x14ac:dyDescent="0.25">
      <c r="A24" s="25"/>
      <c r="B24" s="26"/>
      <c r="C24" s="25"/>
      <c r="D24" s="26"/>
      <c r="E24" s="25"/>
      <c r="F24" s="26"/>
    </row>
    <row r="25" spans="1:6" ht="14.5" x14ac:dyDescent="0.25">
      <c r="A25" s="18" t="s">
        <v>13</v>
      </c>
      <c r="B25" s="19"/>
      <c r="C25" s="19"/>
      <c r="D25" s="19"/>
      <c r="E25" s="19"/>
      <c r="F25" s="20"/>
    </row>
    <row r="26" spans="1:6" ht="12.5" x14ac:dyDescent="0.25"/>
    <row r="27" spans="1:6" ht="12.5" x14ac:dyDescent="0.25"/>
    <row r="28" spans="1:6" ht="12.5" x14ac:dyDescent="0.25"/>
    <row r="29" spans="1:6" ht="12.5" x14ac:dyDescent="0.25"/>
    <row r="30" spans="1:6" ht="12.5" x14ac:dyDescent="0.25"/>
    <row r="31" spans="1:6" ht="12.5" x14ac:dyDescent="0.25"/>
    <row r="32" spans="1:6" ht="12.5" x14ac:dyDescent="0.25"/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</sheetData>
  <mergeCells count="11">
    <mergeCell ref="A25:F25"/>
    <mergeCell ref="C18:D24"/>
    <mergeCell ref="E18:F24"/>
    <mergeCell ref="A1:B1"/>
    <mergeCell ref="C1:D1"/>
    <mergeCell ref="E1:F1"/>
    <mergeCell ref="A2:F2"/>
    <mergeCell ref="A3:B4"/>
    <mergeCell ref="C3:F4"/>
    <mergeCell ref="A18:B24"/>
    <mergeCell ref="B17:D17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AF6"/>
  </sheetPr>
  <dimension ref="A1:Z997"/>
  <sheetViews>
    <sheetView workbookViewId="0">
      <selection activeCell="A7" sqref="A7"/>
    </sheetView>
  </sheetViews>
  <sheetFormatPr defaultColWidth="12.6328125" defaultRowHeight="15.75" customHeight="1" x14ac:dyDescent="0.25"/>
  <cols>
    <col min="1" max="1" width="9.08984375" customWidth="1"/>
    <col min="2" max="2" width="28.08984375" customWidth="1"/>
    <col min="3" max="3" width="10.26953125" customWidth="1"/>
    <col min="4" max="4" width="10.453125" customWidth="1"/>
    <col min="5" max="5" width="8.453125" customWidth="1"/>
    <col min="6" max="6" width="12.36328125" customWidth="1"/>
    <col min="7" max="7" width="7.7265625" customWidth="1"/>
    <col min="8" max="8" width="10.7265625" customWidth="1"/>
    <col min="9" max="9" width="10" customWidth="1"/>
    <col min="10" max="10" width="45" customWidth="1"/>
    <col min="11" max="11" width="7.7265625" customWidth="1"/>
    <col min="12" max="12" width="10.7265625" customWidth="1"/>
    <col min="13" max="26" width="6.453125" customWidth="1"/>
  </cols>
  <sheetData>
    <row r="1" spans="1:26" ht="27.75" customHeight="1" x14ac:dyDescent="0.3">
      <c r="A1" s="27" t="s">
        <v>14</v>
      </c>
      <c r="B1" s="28"/>
      <c r="C1" s="29" t="s">
        <v>15</v>
      </c>
      <c r="D1" s="28"/>
      <c r="E1" s="30" t="s">
        <v>16</v>
      </c>
      <c r="F1" s="28"/>
    </row>
    <row r="2" spans="1:26" ht="47.25" customHeight="1" x14ac:dyDescent="0.25">
      <c r="A2" s="31" t="s">
        <v>17</v>
      </c>
      <c r="B2" s="32"/>
      <c r="C2" s="32"/>
      <c r="D2" s="32"/>
      <c r="E2" s="32"/>
      <c r="F2" s="22"/>
    </row>
    <row r="3" spans="1:26" ht="18" customHeight="1" x14ac:dyDescent="0.25">
      <c r="A3" s="33" t="s">
        <v>2</v>
      </c>
      <c r="B3" s="22"/>
      <c r="C3" s="34"/>
      <c r="D3" s="32"/>
      <c r="E3" s="32"/>
      <c r="F3" s="22"/>
    </row>
    <row r="4" spans="1:26" ht="45.75" customHeight="1" x14ac:dyDescent="0.25">
      <c r="A4" s="25"/>
      <c r="B4" s="26"/>
      <c r="C4" s="35"/>
      <c r="D4" s="35"/>
      <c r="E4" s="35"/>
      <c r="F4" s="26"/>
    </row>
    <row r="5" spans="1:26" ht="18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2" t="s">
        <v>8</v>
      </c>
    </row>
    <row r="6" spans="1:26" ht="12.5" x14ac:dyDescent="0.25">
      <c r="A6" s="1"/>
      <c r="B6" s="1"/>
      <c r="C6" s="1"/>
      <c r="D6" s="1"/>
      <c r="E6" s="1"/>
      <c r="F6" s="1"/>
    </row>
    <row r="7" spans="1:26" ht="24" customHeight="1" x14ac:dyDescent="0.35">
      <c r="A7" s="3">
        <v>46023</v>
      </c>
      <c r="B7" s="4" t="s">
        <v>18</v>
      </c>
      <c r="C7" s="5">
        <v>0.5</v>
      </c>
      <c r="D7" s="5">
        <v>0.5</v>
      </c>
      <c r="E7" s="6">
        <f>ABS(C7*24-D7*24)</f>
        <v>0</v>
      </c>
      <c r="F7" s="7">
        <f>E7*516</f>
        <v>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4" customHeight="1" x14ac:dyDescent="0.35">
      <c r="A8" s="3"/>
      <c r="B8" s="4"/>
      <c r="C8" s="5"/>
      <c r="D8" s="5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4" customHeight="1" x14ac:dyDescent="0.35">
      <c r="A9" s="3"/>
      <c r="B9" s="4"/>
      <c r="C9" s="5"/>
      <c r="D9" s="5"/>
      <c r="E9" s="6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4" customHeight="1" x14ac:dyDescent="0.35">
      <c r="A10" s="3"/>
      <c r="B10" s="4"/>
      <c r="C10" s="5"/>
      <c r="D10" s="5"/>
      <c r="E10" s="6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7.75" customHeight="1" x14ac:dyDescent="0.35">
      <c r="A11" s="3"/>
      <c r="B11" s="4"/>
      <c r="C11" s="5"/>
      <c r="D11" s="5"/>
      <c r="E11" s="6"/>
      <c r="F11" s="7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 x14ac:dyDescent="0.35">
      <c r="A12" s="11"/>
      <c r="B12" s="36" t="s">
        <v>28</v>
      </c>
      <c r="C12" s="37"/>
      <c r="D12" s="38"/>
      <c r="E12" s="12">
        <f t="shared" ref="E12:F12" si="0">SUM(E7:E11)</f>
        <v>0</v>
      </c>
      <c r="F12" s="13">
        <f t="shared" si="0"/>
        <v>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2.5" x14ac:dyDescent="0.25">
      <c r="A13" s="33" t="s">
        <v>19</v>
      </c>
      <c r="B13" s="22"/>
      <c r="C13" s="21" t="s">
        <v>11</v>
      </c>
      <c r="D13" s="22"/>
      <c r="E13" s="21" t="s">
        <v>12</v>
      </c>
      <c r="F13" s="22"/>
    </row>
    <row r="14" spans="1:26" ht="12.5" x14ac:dyDescent="0.25">
      <c r="A14" s="23"/>
      <c r="B14" s="24"/>
      <c r="C14" s="23"/>
      <c r="D14" s="24"/>
      <c r="E14" s="23"/>
      <c r="F14" s="24"/>
    </row>
    <row r="15" spans="1:26" ht="12.5" x14ac:dyDescent="0.25">
      <c r="A15" s="23"/>
      <c r="B15" s="24"/>
      <c r="C15" s="23"/>
      <c r="D15" s="24"/>
      <c r="E15" s="23"/>
      <c r="F15" s="24"/>
    </row>
    <row r="16" spans="1:26" ht="12.5" x14ac:dyDescent="0.25">
      <c r="A16" s="23"/>
      <c r="B16" s="24"/>
      <c r="C16" s="23"/>
      <c r="D16" s="24"/>
      <c r="E16" s="23"/>
      <c r="F16" s="24"/>
    </row>
    <row r="17" spans="1:6" ht="12.5" x14ac:dyDescent="0.25">
      <c r="A17" s="23"/>
      <c r="B17" s="24"/>
      <c r="C17" s="23"/>
      <c r="D17" s="24"/>
      <c r="E17" s="23"/>
      <c r="F17" s="24"/>
    </row>
    <row r="18" spans="1:6" ht="12.5" x14ac:dyDescent="0.25">
      <c r="A18" s="23"/>
      <c r="B18" s="24"/>
      <c r="C18" s="23"/>
      <c r="D18" s="24"/>
      <c r="E18" s="23"/>
      <c r="F18" s="24"/>
    </row>
    <row r="19" spans="1:6" ht="12.5" x14ac:dyDescent="0.25">
      <c r="A19" s="25"/>
      <c r="B19" s="26"/>
      <c r="C19" s="25"/>
      <c r="D19" s="26"/>
      <c r="E19" s="25"/>
      <c r="F19" s="26"/>
    </row>
    <row r="20" spans="1:6" ht="14.5" x14ac:dyDescent="0.25">
      <c r="A20" s="18" t="s">
        <v>13</v>
      </c>
      <c r="B20" s="19"/>
      <c r="C20" s="19"/>
      <c r="D20" s="19"/>
      <c r="E20" s="19"/>
      <c r="F20" s="20"/>
    </row>
    <row r="21" spans="1:6" ht="12.5" x14ac:dyDescent="0.25"/>
    <row r="22" spans="1:6" ht="12.5" x14ac:dyDescent="0.25">
      <c r="A22" s="14" t="s">
        <v>20</v>
      </c>
      <c r="B22" s="15"/>
      <c r="C22" s="15"/>
    </row>
    <row r="23" spans="1:6" ht="12.5" x14ac:dyDescent="0.25">
      <c r="A23" s="14" t="s">
        <v>21</v>
      </c>
    </row>
    <row r="24" spans="1:6" ht="12.5" x14ac:dyDescent="0.25"/>
    <row r="25" spans="1:6" ht="12.5" x14ac:dyDescent="0.25"/>
    <row r="26" spans="1:6" ht="12.5" x14ac:dyDescent="0.25"/>
    <row r="27" spans="1:6" ht="12.5" x14ac:dyDescent="0.25"/>
    <row r="28" spans="1:6" ht="12.5" x14ac:dyDescent="0.25"/>
    <row r="29" spans="1:6" ht="12.5" x14ac:dyDescent="0.25"/>
    <row r="30" spans="1:6" ht="12.5" x14ac:dyDescent="0.25"/>
    <row r="31" spans="1:6" ht="12.5" x14ac:dyDescent="0.25"/>
    <row r="32" spans="1:6" ht="12.5" x14ac:dyDescent="0.25"/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</sheetData>
  <mergeCells count="11">
    <mergeCell ref="A20:F20"/>
    <mergeCell ref="C13:D19"/>
    <mergeCell ref="E13:F19"/>
    <mergeCell ref="A1:B1"/>
    <mergeCell ref="C1:D1"/>
    <mergeCell ref="E1:F1"/>
    <mergeCell ref="A2:F2"/>
    <mergeCell ref="A3:B4"/>
    <mergeCell ref="C3:F4"/>
    <mergeCell ref="A13:B19"/>
    <mergeCell ref="B12:D1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AF6"/>
  </sheetPr>
  <dimension ref="A1:Z997"/>
  <sheetViews>
    <sheetView tabSelected="1" topLeftCell="A4" workbookViewId="0">
      <selection activeCell="B12" sqref="B12:D12"/>
    </sheetView>
  </sheetViews>
  <sheetFormatPr defaultColWidth="12.6328125" defaultRowHeight="15.75" customHeight="1" x14ac:dyDescent="0.25"/>
  <cols>
    <col min="1" max="1" width="9.08984375" customWidth="1"/>
    <col min="2" max="2" width="28.08984375" customWidth="1"/>
    <col min="3" max="3" width="10.26953125" customWidth="1"/>
    <col min="4" max="4" width="10.453125" customWidth="1"/>
    <col min="5" max="5" width="8.453125" customWidth="1"/>
    <col min="6" max="6" width="12.36328125" customWidth="1"/>
    <col min="7" max="7" width="7.7265625" customWidth="1"/>
    <col min="8" max="8" width="10.7265625" customWidth="1"/>
    <col min="9" max="9" width="10" customWidth="1"/>
    <col min="10" max="10" width="45" customWidth="1"/>
    <col min="11" max="11" width="7.7265625" customWidth="1"/>
    <col min="12" max="12" width="10.7265625" customWidth="1"/>
    <col min="13" max="26" width="6.453125" customWidth="1"/>
  </cols>
  <sheetData>
    <row r="1" spans="1:26" ht="27.75" customHeight="1" x14ac:dyDescent="0.3">
      <c r="A1" s="27" t="s">
        <v>22</v>
      </c>
      <c r="B1" s="28"/>
      <c r="C1" s="29" t="s">
        <v>23</v>
      </c>
      <c r="D1" s="28"/>
      <c r="E1" s="30" t="s">
        <v>16</v>
      </c>
      <c r="F1" s="28"/>
    </row>
    <row r="2" spans="1:26" ht="47.25" customHeight="1" x14ac:dyDescent="0.25">
      <c r="A2" s="31" t="s">
        <v>24</v>
      </c>
      <c r="B2" s="32"/>
      <c r="C2" s="32"/>
      <c r="D2" s="32"/>
      <c r="E2" s="32"/>
      <c r="F2" s="22"/>
    </row>
    <row r="3" spans="1:26" ht="18" customHeight="1" x14ac:dyDescent="0.25">
      <c r="A3" s="33" t="s">
        <v>2</v>
      </c>
      <c r="B3" s="22"/>
      <c r="C3" s="34"/>
      <c r="D3" s="32"/>
      <c r="E3" s="32"/>
      <c r="F3" s="22"/>
    </row>
    <row r="4" spans="1:26" ht="45.75" customHeight="1" x14ac:dyDescent="0.25">
      <c r="A4" s="25"/>
      <c r="B4" s="26"/>
      <c r="C4" s="35"/>
      <c r="D4" s="35"/>
      <c r="E4" s="35"/>
      <c r="F4" s="26"/>
    </row>
    <row r="5" spans="1:26" ht="18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2" t="s">
        <v>8</v>
      </c>
    </row>
    <row r="6" spans="1:26" ht="12.5" x14ac:dyDescent="0.25">
      <c r="A6" s="1"/>
      <c r="B6" s="1"/>
      <c r="C6" s="1"/>
      <c r="D6" s="1"/>
      <c r="E6" s="1"/>
      <c r="F6" s="1"/>
    </row>
    <row r="7" spans="1:26" ht="24" customHeight="1" x14ac:dyDescent="0.35">
      <c r="A7" s="3">
        <v>46023</v>
      </c>
      <c r="B7" s="4" t="s">
        <v>25</v>
      </c>
      <c r="C7" s="5">
        <v>0.5</v>
      </c>
      <c r="D7" s="5">
        <v>0.5</v>
      </c>
      <c r="E7" s="6">
        <f>ABS(C7*24-D7*24)</f>
        <v>0</v>
      </c>
      <c r="F7" s="7">
        <f>E7*516</f>
        <v>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4" customHeight="1" x14ac:dyDescent="0.35">
      <c r="A8" s="3"/>
      <c r="B8" s="4"/>
      <c r="C8" s="5"/>
      <c r="D8" s="5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4" customHeight="1" x14ac:dyDescent="0.35">
      <c r="A9" s="3"/>
      <c r="B9" s="4"/>
      <c r="C9" s="5"/>
      <c r="D9" s="5"/>
      <c r="E9" s="6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4" customHeight="1" x14ac:dyDescent="0.35">
      <c r="A10" s="3"/>
      <c r="B10" s="4"/>
      <c r="C10" s="5"/>
      <c r="D10" s="5"/>
      <c r="E10" s="6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7.75" customHeight="1" x14ac:dyDescent="0.35">
      <c r="A11" s="3"/>
      <c r="B11" s="4"/>
      <c r="C11" s="5"/>
      <c r="D11" s="5"/>
      <c r="E11" s="6"/>
      <c r="F11" s="7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 x14ac:dyDescent="0.35">
      <c r="A12" s="11"/>
      <c r="B12" s="36" t="s">
        <v>28</v>
      </c>
      <c r="C12" s="37"/>
      <c r="D12" s="38"/>
      <c r="E12" s="12">
        <f t="shared" ref="E12:F12" si="0">SUM(E7:E11)</f>
        <v>0</v>
      </c>
      <c r="F12" s="13">
        <f t="shared" si="0"/>
        <v>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2.5" x14ac:dyDescent="0.25">
      <c r="A13" s="33" t="s">
        <v>26</v>
      </c>
      <c r="B13" s="22"/>
      <c r="C13" s="21" t="s">
        <v>11</v>
      </c>
      <c r="D13" s="22"/>
      <c r="E13" s="21" t="s">
        <v>12</v>
      </c>
      <c r="F13" s="22"/>
    </row>
    <row r="14" spans="1:26" ht="12.5" x14ac:dyDescent="0.25">
      <c r="A14" s="23"/>
      <c r="B14" s="24"/>
      <c r="C14" s="23"/>
      <c r="D14" s="24"/>
      <c r="E14" s="23"/>
      <c r="F14" s="24"/>
    </row>
    <row r="15" spans="1:26" ht="12.5" x14ac:dyDescent="0.25">
      <c r="A15" s="23"/>
      <c r="B15" s="24"/>
      <c r="C15" s="23"/>
      <c r="D15" s="24"/>
      <c r="E15" s="23"/>
      <c r="F15" s="24"/>
    </row>
    <row r="16" spans="1:26" ht="12.5" x14ac:dyDescent="0.25">
      <c r="A16" s="23"/>
      <c r="B16" s="24"/>
      <c r="C16" s="23"/>
      <c r="D16" s="24"/>
      <c r="E16" s="23"/>
      <c r="F16" s="24"/>
    </row>
    <row r="17" spans="1:6" ht="12.5" x14ac:dyDescent="0.25">
      <c r="A17" s="23"/>
      <c r="B17" s="24"/>
      <c r="C17" s="23"/>
      <c r="D17" s="24"/>
      <c r="E17" s="23"/>
      <c r="F17" s="24"/>
    </row>
    <row r="18" spans="1:6" ht="12.5" x14ac:dyDescent="0.25">
      <c r="A18" s="23"/>
      <c r="B18" s="24"/>
      <c r="C18" s="23"/>
      <c r="D18" s="24"/>
      <c r="E18" s="23"/>
      <c r="F18" s="24"/>
    </row>
    <row r="19" spans="1:6" ht="12.5" x14ac:dyDescent="0.25">
      <c r="A19" s="25"/>
      <c r="B19" s="26"/>
      <c r="C19" s="25"/>
      <c r="D19" s="26"/>
      <c r="E19" s="25"/>
      <c r="F19" s="26"/>
    </row>
    <row r="20" spans="1:6" ht="14.5" x14ac:dyDescent="0.25">
      <c r="A20" s="18" t="s">
        <v>13</v>
      </c>
      <c r="B20" s="19"/>
      <c r="C20" s="19"/>
      <c r="D20" s="19"/>
      <c r="E20" s="19"/>
      <c r="F20" s="20"/>
    </row>
    <row r="21" spans="1:6" ht="12.5" x14ac:dyDescent="0.25"/>
    <row r="22" spans="1:6" ht="12.5" x14ac:dyDescent="0.25">
      <c r="A22" s="14" t="s">
        <v>20</v>
      </c>
      <c r="B22" s="15"/>
      <c r="C22" s="15"/>
    </row>
    <row r="23" spans="1:6" ht="12.5" x14ac:dyDescent="0.25">
      <c r="A23" s="14" t="s">
        <v>27</v>
      </c>
    </row>
    <row r="24" spans="1:6" ht="12.5" x14ac:dyDescent="0.25"/>
    <row r="25" spans="1:6" ht="12.5" x14ac:dyDescent="0.25"/>
    <row r="26" spans="1:6" ht="12.5" x14ac:dyDescent="0.25"/>
    <row r="27" spans="1:6" ht="12.5" x14ac:dyDescent="0.25"/>
    <row r="28" spans="1:6" ht="12.5" x14ac:dyDescent="0.25"/>
    <row r="29" spans="1:6" ht="12.5" x14ac:dyDescent="0.25"/>
    <row r="30" spans="1:6" ht="12.5" x14ac:dyDescent="0.25"/>
    <row r="31" spans="1:6" ht="12.5" x14ac:dyDescent="0.25"/>
    <row r="32" spans="1:6" ht="12.5" x14ac:dyDescent="0.25"/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</sheetData>
  <mergeCells count="11">
    <mergeCell ref="A20:F20"/>
    <mergeCell ref="C13:D19"/>
    <mergeCell ref="E13:F19"/>
    <mergeCell ref="A1:B1"/>
    <mergeCell ref="C1:D1"/>
    <mergeCell ref="E1:F1"/>
    <mergeCell ref="A2:F2"/>
    <mergeCell ref="A3:B4"/>
    <mergeCell ref="C3:F4"/>
    <mergeCell ref="A13:B19"/>
    <mergeCell ref="B12:D1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AF6"/>
  </sheetPr>
  <dimension ref="A1:Z997"/>
  <sheetViews>
    <sheetView workbookViewId="0">
      <selection activeCell="E13" sqref="E13:F19"/>
    </sheetView>
  </sheetViews>
  <sheetFormatPr defaultColWidth="12.6328125" defaultRowHeight="15.75" customHeight="1" x14ac:dyDescent="0.25"/>
  <cols>
    <col min="1" max="1" width="9.08984375" customWidth="1"/>
    <col min="2" max="2" width="28.08984375" customWidth="1"/>
    <col min="3" max="3" width="10.26953125" customWidth="1"/>
    <col min="4" max="4" width="11.1796875" customWidth="1"/>
    <col min="5" max="5" width="8.453125" customWidth="1"/>
    <col min="6" max="6" width="14" customWidth="1"/>
    <col min="7" max="7" width="7.7265625" customWidth="1"/>
    <col min="8" max="8" width="10.7265625" customWidth="1"/>
    <col min="9" max="9" width="10" customWidth="1"/>
    <col min="10" max="10" width="45" customWidth="1"/>
    <col min="11" max="11" width="7.7265625" customWidth="1"/>
    <col min="12" max="12" width="10.7265625" customWidth="1"/>
    <col min="13" max="26" width="6.453125" customWidth="1"/>
  </cols>
  <sheetData>
    <row r="1" spans="1:26" ht="27.75" customHeight="1" x14ac:dyDescent="0.3">
      <c r="A1" s="27" t="s">
        <v>0</v>
      </c>
      <c r="B1" s="28"/>
      <c r="C1" s="29" t="s">
        <v>29</v>
      </c>
      <c r="D1" s="28"/>
      <c r="E1" s="30" t="s">
        <v>30</v>
      </c>
      <c r="F1" s="28"/>
    </row>
    <row r="2" spans="1:26" ht="47.25" customHeight="1" x14ac:dyDescent="0.25">
      <c r="A2" s="31" t="s">
        <v>1</v>
      </c>
      <c r="B2" s="32"/>
      <c r="C2" s="32"/>
      <c r="D2" s="32"/>
      <c r="E2" s="32"/>
      <c r="F2" s="22"/>
    </row>
    <row r="3" spans="1:26" ht="18" customHeight="1" x14ac:dyDescent="0.25">
      <c r="A3" s="33" t="s">
        <v>2</v>
      </c>
      <c r="B3" s="22"/>
      <c r="C3" s="34"/>
      <c r="D3" s="32"/>
      <c r="E3" s="32"/>
      <c r="F3" s="22"/>
    </row>
    <row r="4" spans="1:26" ht="45.75" customHeight="1" x14ac:dyDescent="0.25">
      <c r="A4" s="25"/>
      <c r="B4" s="26"/>
      <c r="C4" s="35"/>
      <c r="D4" s="35"/>
      <c r="E4" s="35"/>
      <c r="F4" s="26"/>
    </row>
    <row r="5" spans="1:26" ht="12.5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2" t="s">
        <v>8</v>
      </c>
    </row>
    <row r="6" spans="1:26" ht="12.5" x14ac:dyDescent="0.25">
      <c r="A6" s="1"/>
      <c r="B6" s="1"/>
      <c r="C6" s="1"/>
      <c r="D6" s="1"/>
      <c r="E6" s="1"/>
      <c r="F6" s="1"/>
    </row>
    <row r="7" spans="1:26" ht="24" x14ac:dyDescent="0.35">
      <c r="A7" s="3">
        <v>46156</v>
      </c>
      <c r="B7" s="10" t="s">
        <v>31</v>
      </c>
      <c r="C7" s="5">
        <v>0.75</v>
      </c>
      <c r="D7" s="5">
        <v>0.875</v>
      </c>
      <c r="E7" s="6">
        <f>ABS(C7*24-D7*24)</f>
        <v>3</v>
      </c>
      <c r="F7" s="7">
        <f>E7*516</f>
        <v>1548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4" customHeight="1" x14ac:dyDescent="0.35">
      <c r="A8" s="3"/>
      <c r="B8" s="4"/>
      <c r="C8" s="5"/>
      <c r="D8" s="5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4" customHeight="1" x14ac:dyDescent="0.35">
      <c r="A9" s="3"/>
      <c r="B9" s="4"/>
      <c r="C9" s="5"/>
      <c r="D9" s="5"/>
      <c r="E9" s="6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4" customHeight="1" x14ac:dyDescent="0.35">
      <c r="A10" s="3"/>
      <c r="B10" s="4"/>
      <c r="C10" s="5"/>
      <c r="D10" s="5"/>
      <c r="E10" s="6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7.5" customHeight="1" x14ac:dyDescent="0.35">
      <c r="A11" s="3"/>
      <c r="B11" s="4"/>
      <c r="C11" s="5"/>
      <c r="D11" s="5"/>
      <c r="E11" s="6"/>
      <c r="F11" s="7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9.5" customHeight="1" x14ac:dyDescent="0.35">
      <c r="A12" s="11"/>
      <c r="B12" s="36" t="s">
        <v>28</v>
      </c>
      <c r="C12" s="37"/>
      <c r="D12" s="38"/>
      <c r="E12" s="12">
        <f>SUM(E7:E11)</f>
        <v>3</v>
      </c>
      <c r="F12" s="13">
        <f>SUM(F7:F11)</f>
        <v>1548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2.5" customHeight="1" x14ac:dyDescent="0.25">
      <c r="A13" s="33" t="s">
        <v>10</v>
      </c>
      <c r="B13" s="22"/>
      <c r="C13" s="39" t="s">
        <v>11</v>
      </c>
      <c r="D13" s="22"/>
      <c r="E13" s="21" t="s">
        <v>12</v>
      </c>
      <c r="F13" s="22"/>
    </row>
    <row r="14" spans="1:26" ht="12.5" x14ac:dyDescent="0.25">
      <c r="A14" s="23"/>
      <c r="B14" s="24"/>
      <c r="C14" s="23"/>
      <c r="D14" s="24"/>
      <c r="E14" s="23"/>
      <c r="F14" s="24"/>
    </row>
    <row r="15" spans="1:26" ht="12.5" x14ac:dyDescent="0.25">
      <c r="A15" s="23"/>
      <c r="B15" s="24"/>
      <c r="C15" s="23"/>
      <c r="D15" s="24"/>
      <c r="E15" s="23"/>
      <c r="F15" s="24"/>
    </row>
    <row r="16" spans="1:26" ht="12.5" x14ac:dyDescent="0.25">
      <c r="A16" s="23"/>
      <c r="B16" s="24"/>
      <c r="C16" s="23"/>
      <c r="D16" s="24"/>
      <c r="E16" s="23"/>
      <c r="F16" s="24"/>
    </row>
    <row r="17" spans="1:6" ht="12.5" x14ac:dyDescent="0.25">
      <c r="A17" s="23"/>
      <c r="B17" s="24"/>
      <c r="C17" s="23"/>
      <c r="D17" s="24"/>
      <c r="E17" s="23"/>
      <c r="F17" s="24"/>
    </row>
    <row r="18" spans="1:6" ht="12.5" x14ac:dyDescent="0.25">
      <c r="A18" s="23"/>
      <c r="B18" s="24"/>
      <c r="C18" s="23"/>
      <c r="D18" s="24"/>
      <c r="E18" s="23"/>
      <c r="F18" s="24"/>
    </row>
    <row r="19" spans="1:6" ht="28" customHeight="1" x14ac:dyDescent="0.25">
      <c r="A19" s="25"/>
      <c r="B19" s="26"/>
      <c r="C19" s="25"/>
      <c r="D19" s="26"/>
      <c r="E19" s="25"/>
      <c r="F19" s="26"/>
    </row>
    <row r="20" spans="1:6" ht="14.5" x14ac:dyDescent="0.25">
      <c r="A20" s="18" t="s">
        <v>13</v>
      </c>
      <c r="B20" s="19"/>
      <c r="C20" s="19"/>
      <c r="D20" s="19"/>
      <c r="E20" s="19"/>
      <c r="F20" s="20"/>
    </row>
    <row r="21" spans="1:6" ht="12.5" x14ac:dyDescent="0.25"/>
    <row r="22" spans="1:6" ht="12.5" x14ac:dyDescent="0.25">
      <c r="A22" s="17"/>
      <c r="B22" s="15"/>
      <c r="C22" s="15"/>
    </row>
    <row r="23" spans="1:6" ht="12.5" x14ac:dyDescent="0.25">
      <c r="A23" s="14"/>
    </row>
    <row r="24" spans="1:6" ht="12.5" x14ac:dyDescent="0.25"/>
    <row r="25" spans="1:6" ht="12.5" x14ac:dyDescent="0.25"/>
    <row r="26" spans="1:6" ht="12.5" x14ac:dyDescent="0.25"/>
    <row r="27" spans="1:6" ht="12.5" x14ac:dyDescent="0.25"/>
    <row r="28" spans="1:6" ht="12.5" x14ac:dyDescent="0.25"/>
    <row r="29" spans="1:6" ht="12.5" x14ac:dyDescent="0.25"/>
    <row r="30" spans="1:6" ht="12.5" x14ac:dyDescent="0.25"/>
    <row r="31" spans="1:6" ht="12.5" x14ac:dyDescent="0.25"/>
    <row r="32" spans="1:6" ht="12.5" x14ac:dyDescent="0.25"/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</sheetData>
  <mergeCells count="11">
    <mergeCell ref="A20:F20"/>
    <mergeCell ref="C13:D19"/>
    <mergeCell ref="E13:F19"/>
    <mergeCell ref="A1:B1"/>
    <mergeCell ref="C1:D1"/>
    <mergeCell ref="E1:F1"/>
    <mergeCell ref="A2:F2"/>
    <mergeCell ref="A3:B4"/>
    <mergeCell ref="C3:F4"/>
    <mergeCell ref="A13:B19"/>
    <mergeCell ref="B12:D12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Helpdesk Timesheet</vt:lpstr>
      <vt:lpstr>Bloomberg Support Timesheet</vt:lpstr>
      <vt:lpstr>PSU SUPPORT TIMEHSEET</vt:lpstr>
      <vt:lpstr>Event Support Timehseet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Diane Tracey</cp:lastModifiedBy>
  <cp:lastPrinted>2026-06-01T21:51:13Z</cp:lastPrinted>
  <dcterms:modified xsi:type="dcterms:W3CDTF">2026-06-01T21:53:56Z</dcterms:modified>
</cp:coreProperties>
</file>