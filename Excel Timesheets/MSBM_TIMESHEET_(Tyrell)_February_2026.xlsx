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JT\Documents\"/>
    </mc:Choice>
  </mc:AlternateContent>
  <xr:revisionPtr revIDLastSave="0" documentId="13_ncr:1_{CFD214A4-3879-4B41-BF47-2957927EE6B3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February" sheetId="1" r:id="rId1"/>
    <sheet name="Events" sheetId="2" r:id="rId2"/>
  </sheets>
  <definedNames>
    <definedName name="_xlnm.Print_Area" localSheetId="1">Events!$A$1:$F$17</definedName>
    <definedName name="_xlnm.Print_Area" localSheetId="0">February!$A$1:$F$41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0" i="1" l="1"/>
  <c r="F30" i="1" s="1"/>
  <c r="E16" i="1"/>
  <c r="F16" i="1" s="1"/>
  <c r="E29" i="1"/>
  <c r="F29" i="1" s="1"/>
  <c r="E31" i="1"/>
  <c r="F31" i="1" s="1"/>
  <c r="E28" i="1"/>
  <c r="F28" i="1" s="1"/>
  <c r="E27" i="1"/>
  <c r="F27" i="1" s="1"/>
  <c r="E7" i="2"/>
  <c r="F7" i="2" s="1"/>
  <c r="E6" i="2"/>
  <c r="F6" i="2" s="1"/>
  <c r="E19" i="1"/>
  <c r="F19" i="1" s="1"/>
  <c r="E26" i="1"/>
  <c r="F26" i="1" s="1"/>
  <c r="E8" i="2"/>
  <c r="F8" i="2" s="1"/>
  <c r="E32" i="1"/>
  <c r="F32" i="1" s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8" i="1"/>
  <c r="F18" i="1" s="1"/>
  <c r="E17" i="1"/>
  <c r="F17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9" i="2" l="1"/>
  <c r="F9" i="2" s="1"/>
  <c r="E33" i="1"/>
  <c r="F33" i="1" s="1"/>
</calcChain>
</file>

<file path=xl/sharedStrings.xml><?xml version="1.0" encoding="utf-8"?>
<sst xmlns="http://schemas.openxmlformats.org/spreadsheetml/2006/main" count="62" uniqueCount="24">
  <si>
    <r>
      <rPr>
        <b/>
        <sz val="11"/>
        <color rgb="FF000000"/>
        <rFont val="Calibri"/>
        <family val="2"/>
        <charset val="1"/>
      </rPr>
      <t xml:space="preserve">Jevoun Tyrell
</t>
    </r>
    <r>
      <rPr>
        <b/>
        <sz val="9"/>
        <color rgb="FF000000"/>
        <rFont val="Calibri"/>
        <family val="2"/>
        <charset val="1"/>
      </rPr>
      <t>Technical Support Representative</t>
    </r>
  </si>
  <si>
    <t xml:space="preserve">TO:Ms. Merlyn Reed Director, Finance and Administration
          Mona School of Business
          The Alister McIntyre Complex
          The University of the West Indies, Mona
          Kingston 7, Jamaica, W.I.
</t>
  </si>
  <si>
    <t>DATE</t>
  </si>
  <si>
    <t>DESCRIPTION</t>
  </si>
  <si>
    <t>START</t>
  </si>
  <si>
    <t>END</t>
  </si>
  <si>
    <t>HOURS</t>
  </si>
  <si>
    <t>LINE TOTAL (516/Hr)</t>
  </si>
  <si>
    <t>Helpdesk Support</t>
  </si>
  <si>
    <t>Bloomberg Support</t>
  </si>
  <si>
    <t>TOTAL</t>
  </si>
  <si>
    <t xml:space="preserve">Verified By:
____________________________
Date (dd/mm/yy): ____/____/____
</t>
  </si>
  <si>
    <t xml:space="preserve">Approved By:
____________________________
Date (dd/mm/yy): ____/____/____
</t>
  </si>
  <si>
    <t>THANK YOU FOR YOUR BUSINESS!</t>
  </si>
  <si>
    <t>Address:  12 Columbus Drive, Kingston 
Phone: 18767841503
Email: jevountyrell@gmail.com
TRN:129308005</t>
  </si>
  <si>
    <t>INVOICE#: JT-2026-02-02</t>
  </si>
  <si>
    <t>Feb-28-2026</t>
  </si>
  <si>
    <t>Event Support: Masters Talk Data Analytics</t>
  </si>
  <si>
    <t>Event Support: Masters Talk CBMIS</t>
  </si>
  <si>
    <r>
      <t xml:space="preserve">Submitted By: Jevoun Tyrell
</t>
    </r>
    <r>
      <rPr>
        <sz val="8"/>
        <color rgb="FF000000"/>
        <rFont val="Calibri"/>
        <family val="2"/>
        <charset val="1"/>
      </rPr>
      <t xml:space="preserve"> 
______________________________
Name
</t>
    </r>
    <r>
      <rPr>
        <b/>
        <sz val="8"/>
        <color rgb="FF000000"/>
        <rFont val="Calibri"/>
        <family val="2"/>
        <charset val="1"/>
      </rPr>
      <t xml:space="preserve">Date (dd/mm/yy): </t>
    </r>
    <r>
      <rPr>
        <b/>
        <u/>
        <sz val="8"/>
        <color rgb="FF000000"/>
        <rFont val="Calibri"/>
        <family val="2"/>
        <charset val="1"/>
      </rPr>
      <t xml:space="preserve">03/03/2026
</t>
    </r>
  </si>
  <si>
    <t>INVOICE#: JT-2026-03-3</t>
  </si>
  <si>
    <t>February-28-2026</t>
  </si>
  <si>
    <t xml:space="preserve">Event Support: Brown Bag </t>
  </si>
  <si>
    <r>
      <t xml:space="preserve">Submitted By: Jevoun Tyrell
</t>
    </r>
    <r>
      <rPr>
        <sz val="8"/>
        <color rgb="FF000000"/>
        <rFont val="Calibri"/>
        <family val="2"/>
        <charset val="1"/>
      </rPr>
      <t xml:space="preserve"> 
 ______________________________
Name
</t>
    </r>
    <r>
      <rPr>
        <b/>
        <sz val="8"/>
        <color rgb="FF000000"/>
        <rFont val="Calibri"/>
        <family val="2"/>
        <charset val="1"/>
      </rPr>
      <t xml:space="preserve">Date (dd/mm/yy): </t>
    </r>
    <r>
      <rPr>
        <b/>
        <u/>
        <sz val="8"/>
        <color rgb="FF000000"/>
        <rFont val="Calibri"/>
        <family val="2"/>
      </rPr>
      <t>03</t>
    </r>
    <r>
      <rPr>
        <b/>
        <u/>
        <sz val="8"/>
        <color rgb="FF000000"/>
        <rFont val="Calibri"/>
        <family val="2"/>
        <charset val="1"/>
      </rPr>
      <t xml:space="preserve">/03/26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</si>
</sst>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h:mm:ss\ AM/PM"/>
    <numFmt numFmtId="165" formatCode="\$#,##0.00_);[Red]&quot;($&quot;#,##0.00\)"/>
    <numFmt numFmtId="166" formatCode="[$-F400]h:mm:ss\ AM/PM"/>
    <numFmt numFmtId="170" formatCode="[$-409]h:mm:ss\ AM/PM;@"/>
  </numFmts>
  <fonts count="18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  <charset val="1"/>
    </font>
    <font>
      <b/>
      <sz val="9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i/>
      <sz val="11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7"/>
      <color rgb="FF000000"/>
      <name val="Arial"/>
      <family val="2"/>
      <charset val="1"/>
    </font>
    <font>
      <sz val="8"/>
      <color rgb="FF000000"/>
      <name val="Trebuchet MS"/>
      <family val="2"/>
      <charset val="1"/>
    </font>
    <font>
      <b/>
      <sz val="8"/>
      <color rgb="FF000000"/>
      <name val="Calibri"/>
      <family val="2"/>
      <charset val="1"/>
    </font>
    <font>
      <b/>
      <i/>
      <sz val="8"/>
      <color rgb="FF000000"/>
      <name val="Calibri"/>
      <family val="2"/>
      <charset val="1"/>
    </font>
    <font>
      <b/>
      <u/>
      <sz val="8"/>
      <color rgb="FF000000"/>
      <name val="Calibri"/>
      <family val="2"/>
      <charset val="1"/>
    </font>
    <font>
      <sz val="11"/>
      <name val="Calibri"/>
      <family val="2"/>
      <charset val="1"/>
    </font>
    <font>
      <sz val="10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Trebuchet MS"/>
      <family val="2"/>
      <charset val="1"/>
    </font>
    <font>
      <b/>
      <u/>
      <sz val="8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B9CA"/>
        <bgColor rgb="FF99CCFF"/>
      </patternFill>
    </fill>
    <fill>
      <patternFill patternType="solid">
        <fgColor rgb="FFE4EAF4"/>
        <bgColor rgb="FFDEEAF6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164" fontId="0" fillId="0" borderId="0" xfId="0" applyNumberFormat="1"/>
    <xf numFmtId="0" fontId="7" fillId="3" borderId="5" xfId="0" applyFont="1" applyFill="1" applyBorder="1" applyAlignment="1">
      <alignment horizontal="center" vertical="center" wrapText="1"/>
    </xf>
    <xf numFmtId="164" fontId="7" fillId="3" borderId="5" xfId="0" applyNumberFormat="1" applyFont="1" applyFill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2" fontId="8" fillId="0" borderId="1" xfId="0" applyNumberFormat="1" applyFont="1" applyBorder="1" applyAlignment="1">
      <alignment horizontal="right" vertical="center" wrapText="1"/>
    </xf>
    <xf numFmtId="165" fontId="8" fillId="0" borderId="1" xfId="0" applyNumberFormat="1" applyFont="1" applyBorder="1" applyAlignment="1">
      <alignment horizontal="right" wrapText="1"/>
    </xf>
    <xf numFmtId="0" fontId="6" fillId="0" borderId="0" xfId="0" applyFont="1" applyAlignment="1">
      <alignment vertical="center"/>
    </xf>
    <xf numFmtId="2" fontId="9" fillId="0" borderId="2" xfId="0" applyNumberFormat="1" applyFont="1" applyBorder="1" applyAlignment="1">
      <alignment horizontal="right" wrapText="1"/>
    </xf>
    <xf numFmtId="0" fontId="0" fillId="0" borderId="0" xfId="0" applyBorder="1"/>
    <xf numFmtId="0" fontId="15" fillId="3" borderId="1" xfId="0" applyFont="1" applyFill="1" applyBorder="1" applyAlignment="1">
      <alignment horizontal="center" vertical="center" wrapText="1"/>
    </xf>
    <xf numFmtId="14" fontId="1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/>
    <xf numFmtId="166" fontId="16" fillId="0" borderId="1" xfId="0" applyNumberFormat="1" applyFont="1" applyBorder="1" applyAlignment="1">
      <alignment horizontal="right" vertical="center" wrapText="1"/>
    </xf>
    <xf numFmtId="2" fontId="16" fillId="0" borderId="1" xfId="0" applyNumberFormat="1" applyFont="1" applyBorder="1" applyAlignment="1">
      <alignment horizontal="right" vertical="center" wrapText="1"/>
    </xf>
    <xf numFmtId="165" fontId="16" fillId="0" borderId="1" xfId="0" applyNumberFormat="1" applyFont="1" applyBorder="1" applyAlignment="1">
      <alignment horizontal="right" wrapText="1"/>
    </xf>
    <xf numFmtId="2" fontId="2" fillId="0" borderId="1" xfId="0" applyNumberFormat="1" applyFont="1" applyBorder="1" applyAlignment="1">
      <alignment horizontal="right" wrapText="1"/>
    </xf>
    <xf numFmtId="0" fontId="6" fillId="0" borderId="0" xfId="0" applyFont="1" applyBorder="1" applyAlignment="1">
      <alignment vertical="center"/>
    </xf>
    <xf numFmtId="0" fontId="9" fillId="0" borderId="3" xfId="0" applyFont="1" applyBorder="1" applyAlignment="1">
      <alignment horizontal="center"/>
    </xf>
    <xf numFmtId="0" fontId="10" fillId="0" borderId="1" xfId="0" applyFont="1" applyBorder="1" applyAlignment="1">
      <alignment horizontal="left" vertical="center" wrapText="1"/>
    </xf>
    <xf numFmtId="164" fontId="9" fillId="0" borderId="1" xfId="0" applyNumberFormat="1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6" fillId="2" borderId="0" xfId="0" applyFont="1" applyFill="1" applyBorder="1" applyAlignment="1">
      <alignment horizontal="center" vertical="center"/>
    </xf>
    <xf numFmtId="0" fontId="12" fillId="0" borderId="0" xfId="0" applyFont="1" applyBorder="1"/>
    <xf numFmtId="0" fontId="1" fillId="2" borderId="1" xfId="0" applyFont="1" applyFill="1" applyBorder="1" applyAlignment="1">
      <alignment horizontal="left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wrapText="1"/>
    </xf>
    <xf numFmtId="0" fontId="5" fillId="0" borderId="3" xfId="0" applyFont="1" applyBorder="1" applyAlignment="1">
      <alignment horizontal="left" vertical="center" wrapText="1"/>
    </xf>
    <xf numFmtId="164" fontId="6" fillId="0" borderId="4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 wrapText="1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wrapText="1"/>
    </xf>
    <xf numFmtId="170" fontId="8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08080"/>
      <rgbColor rgb="FF9999FF"/>
      <rgbColor rgb="FF993366"/>
      <rgbColor rgb="FFFFFF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AF4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EEAF6"/>
  </sheetPr>
  <dimension ref="A1:Z1011"/>
  <sheetViews>
    <sheetView tabSelected="1" topLeftCell="A16" zoomScaleNormal="100" workbookViewId="0">
      <selection activeCell="E33" sqref="E33"/>
    </sheetView>
  </sheetViews>
  <sheetFormatPr defaultColWidth="14.453125" defaultRowHeight="14.5" x14ac:dyDescent="0.35"/>
  <cols>
    <col min="1" max="1" width="10.453125" customWidth="1"/>
    <col min="2" max="2" width="29.81640625" customWidth="1"/>
    <col min="3" max="3" width="11.7265625" style="1" customWidth="1"/>
    <col min="4" max="4" width="17.54296875" style="1" customWidth="1"/>
    <col min="5" max="5" width="9.7265625" customWidth="1"/>
    <col min="6" max="6" width="14.1796875" customWidth="1"/>
    <col min="7" max="7" width="8.81640625" customWidth="1"/>
    <col min="8" max="8" width="12.26953125" customWidth="1"/>
    <col min="9" max="9" width="11.453125" customWidth="1"/>
    <col min="10" max="10" width="51.453125" customWidth="1"/>
    <col min="11" max="11" width="8.81640625" customWidth="1"/>
    <col min="12" max="12" width="12.26953125" customWidth="1"/>
    <col min="13" max="26" width="7.453125" customWidth="1"/>
  </cols>
  <sheetData>
    <row r="1" spans="1:26" ht="27.75" customHeight="1" x14ac:dyDescent="0.35">
      <c r="A1" s="25" t="s">
        <v>0</v>
      </c>
      <c r="B1" s="25"/>
      <c r="C1" s="26" t="s">
        <v>15</v>
      </c>
      <c r="D1" s="26"/>
      <c r="E1" s="27" t="s">
        <v>16</v>
      </c>
      <c r="F1" s="27"/>
    </row>
    <row r="2" spans="1:26" ht="47.25" customHeight="1" x14ac:dyDescent="0.35">
      <c r="A2" s="28" t="s">
        <v>14</v>
      </c>
      <c r="B2" s="28"/>
      <c r="C2" s="28"/>
      <c r="D2" s="28"/>
      <c r="E2" s="28"/>
      <c r="F2" s="28"/>
    </row>
    <row r="3" spans="1:26" ht="18" customHeight="1" x14ac:dyDescent="0.35">
      <c r="A3" s="29" t="s">
        <v>1</v>
      </c>
      <c r="B3" s="29"/>
      <c r="C3" s="30"/>
      <c r="D3" s="30"/>
      <c r="E3" s="30"/>
      <c r="F3" s="30"/>
    </row>
    <row r="4" spans="1:26" ht="48" customHeight="1" x14ac:dyDescent="0.35">
      <c r="A4" s="29"/>
      <c r="B4" s="29"/>
      <c r="C4" s="30"/>
      <c r="D4" s="30"/>
      <c r="E4" s="30"/>
      <c r="F4" s="30"/>
    </row>
    <row r="5" spans="1:26" ht="23.25" customHeight="1" x14ac:dyDescent="0.35">
      <c r="A5" s="2" t="s">
        <v>2</v>
      </c>
      <c r="B5" s="2" t="s">
        <v>3</v>
      </c>
      <c r="C5" s="3" t="s">
        <v>4</v>
      </c>
      <c r="D5" s="3" t="s">
        <v>5</v>
      </c>
      <c r="E5" s="2" t="s">
        <v>6</v>
      </c>
      <c r="F5" s="2" t="s">
        <v>7</v>
      </c>
    </row>
    <row r="6" spans="1:26" ht="15.75" customHeight="1" x14ac:dyDescent="0.35">
      <c r="A6" s="4">
        <v>46054</v>
      </c>
      <c r="B6" s="5" t="s">
        <v>8</v>
      </c>
      <c r="C6" s="37">
        <v>0.58333333333333337</v>
      </c>
      <c r="D6" s="37">
        <v>0.79166666666666663</v>
      </c>
      <c r="E6" s="6">
        <f t="shared" ref="E6:E32" si="0">ABS(C6*24-D6*24)</f>
        <v>5</v>
      </c>
      <c r="F6" s="7">
        <f t="shared" ref="F6:F33" si="1">E6*516</f>
        <v>2580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 x14ac:dyDescent="0.35">
      <c r="A7" s="4">
        <v>46055</v>
      </c>
      <c r="B7" s="5" t="s">
        <v>8</v>
      </c>
      <c r="C7" s="37">
        <v>0.33333333333333298</v>
      </c>
      <c r="D7" s="37">
        <v>0.625</v>
      </c>
      <c r="E7" s="6">
        <f t="shared" si="0"/>
        <v>7.0000000000000089</v>
      </c>
      <c r="F7" s="7">
        <f t="shared" si="1"/>
        <v>3612.0000000000045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5.75" customHeight="1" x14ac:dyDescent="0.35">
      <c r="A8" s="4">
        <v>46056</v>
      </c>
      <c r="B8" s="5" t="s">
        <v>8</v>
      </c>
      <c r="C8" s="37">
        <v>0.33333333333333298</v>
      </c>
      <c r="D8" s="37">
        <v>0.45833333333333331</v>
      </c>
      <c r="E8" s="6">
        <f t="shared" si="0"/>
        <v>3.0000000000000089</v>
      </c>
      <c r="F8" s="7">
        <f t="shared" si="1"/>
        <v>1548.0000000000045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5.75" customHeight="1" x14ac:dyDescent="0.35">
      <c r="A9" s="4">
        <v>46057</v>
      </c>
      <c r="B9" s="5" t="s">
        <v>8</v>
      </c>
      <c r="C9" s="37">
        <v>0.33333333333333298</v>
      </c>
      <c r="D9" s="37">
        <v>0.58333333333333337</v>
      </c>
      <c r="E9" s="6">
        <f t="shared" si="0"/>
        <v>6.0000000000000089</v>
      </c>
      <c r="F9" s="7">
        <f t="shared" si="1"/>
        <v>3096.0000000000045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 x14ac:dyDescent="0.35">
      <c r="A10" s="4">
        <v>46057</v>
      </c>
      <c r="B10" s="5" t="s">
        <v>9</v>
      </c>
      <c r="C10" s="37">
        <v>0.66666666666666696</v>
      </c>
      <c r="D10" s="37">
        <v>0.875</v>
      </c>
      <c r="E10" s="6">
        <f t="shared" si="0"/>
        <v>4.9999999999999929</v>
      </c>
      <c r="F10" s="7">
        <f t="shared" si="1"/>
        <v>2579.9999999999964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5.75" customHeight="1" x14ac:dyDescent="0.35">
      <c r="A11" s="4">
        <v>46058</v>
      </c>
      <c r="B11" s="5" t="s">
        <v>9</v>
      </c>
      <c r="C11" s="37">
        <v>0.66666666666666696</v>
      </c>
      <c r="D11" s="37">
        <v>0.875</v>
      </c>
      <c r="E11" s="6">
        <f t="shared" si="0"/>
        <v>4.9999999999999929</v>
      </c>
      <c r="F11" s="7">
        <f t="shared" si="1"/>
        <v>2579.9999999999964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5.75" customHeight="1" x14ac:dyDescent="0.35">
      <c r="A12" s="4">
        <v>46059</v>
      </c>
      <c r="B12" s="5" t="s">
        <v>8</v>
      </c>
      <c r="C12" s="37">
        <v>0.33333333333333298</v>
      </c>
      <c r="D12" s="37">
        <v>0.70833333333333337</v>
      </c>
      <c r="E12" s="6">
        <f t="shared" si="0"/>
        <v>9.0000000000000089</v>
      </c>
      <c r="F12" s="7">
        <f t="shared" si="1"/>
        <v>4644.0000000000045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5.75" customHeight="1" x14ac:dyDescent="0.35">
      <c r="A13" s="4">
        <v>46061</v>
      </c>
      <c r="B13" s="5" t="s">
        <v>8</v>
      </c>
      <c r="C13" s="37">
        <v>0.54166666666666663</v>
      </c>
      <c r="D13" s="37">
        <v>0.79166666666666696</v>
      </c>
      <c r="E13" s="6">
        <f t="shared" si="0"/>
        <v>6.0000000000000071</v>
      </c>
      <c r="F13" s="7">
        <f t="shared" si="1"/>
        <v>3096.0000000000036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5.75" customHeight="1" x14ac:dyDescent="0.35">
      <c r="A14" s="4">
        <v>46062</v>
      </c>
      <c r="B14" s="5" t="s">
        <v>8</v>
      </c>
      <c r="C14" s="37">
        <v>0.33333333333333298</v>
      </c>
      <c r="D14" s="37">
        <v>0.625</v>
      </c>
      <c r="E14" s="6">
        <f t="shared" si="0"/>
        <v>7.0000000000000089</v>
      </c>
      <c r="F14" s="7">
        <f t="shared" si="1"/>
        <v>3612.0000000000045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.75" customHeight="1" x14ac:dyDescent="0.35">
      <c r="A15" s="4">
        <v>46063</v>
      </c>
      <c r="B15" s="5" t="s">
        <v>8</v>
      </c>
      <c r="C15" s="37">
        <v>0.33333333333333331</v>
      </c>
      <c r="D15" s="37">
        <v>0.45833333333333331</v>
      </c>
      <c r="E15" s="6">
        <f t="shared" si="0"/>
        <v>3</v>
      </c>
      <c r="F15" s="7">
        <f t="shared" si="1"/>
        <v>1548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5.75" customHeight="1" x14ac:dyDescent="0.35">
      <c r="A16" s="4">
        <v>46064</v>
      </c>
      <c r="B16" s="5" t="s">
        <v>8</v>
      </c>
      <c r="C16" s="37">
        <v>0.33333333333333298</v>
      </c>
      <c r="D16" s="37">
        <v>0.58333333333333337</v>
      </c>
      <c r="E16" s="6">
        <f t="shared" ref="E16" si="2">ABS(C16*24-D16*24)</f>
        <v>6.0000000000000089</v>
      </c>
      <c r="F16" s="7">
        <f t="shared" ref="F16" si="3">E16*516</f>
        <v>3096.0000000000045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5.75" customHeight="1" x14ac:dyDescent="0.35">
      <c r="A17" s="4">
        <v>46064</v>
      </c>
      <c r="B17" s="5" t="s">
        <v>9</v>
      </c>
      <c r="C17" s="37">
        <v>0.66666666666666696</v>
      </c>
      <c r="D17" s="37">
        <v>0.875</v>
      </c>
      <c r="E17" s="6">
        <f t="shared" si="0"/>
        <v>4.9999999999999929</v>
      </c>
      <c r="F17" s="7">
        <f t="shared" si="1"/>
        <v>2579.9999999999964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5.75" customHeight="1" x14ac:dyDescent="0.35">
      <c r="A18" s="4">
        <v>46065</v>
      </c>
      <c r="B18" s="5" t="s">
        <v>9</v>
      </c>
      <c r="C18" s="37">
        <v>0.66666666666666696</v>
      </c>
      <c r="D18" s="37">
        <v>0.875</v>
      </c>
      <c r="E18" s="6">
        <f t="shared" si="0"/>
        <v>4.9999999999999929</v>
      </c>
      <c r="F18" s="7">
        <f t="shared" si="1"/>
        <v>2579.9999999999964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5.75" customHeight="1" x14ac:dyDescent="0.35">
      <c r="A19" s="4">
        <v>46066</v>
      </c>
      <c r="B19" s="5" t="s">
        <v>8</v>
      </c>
      <c r="C19" s="37">
        <v>0.33333333333333298</v>
      </c>
      <c r="D19" s="37">
        <v>0.70833333333333337</v>
      </c>
      <c r="E19" s="6">
        <f t="shared" si="0"/>
        <v>9.0000000000000089</v>
      </c>
      <c r="F19" s="7">
        <f t="shared" si="1"/>
        <v>4644.0000000000045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5.75" customHeight="1" x14ac:dyDescent="0.35">
      <c r="A20" s="4">
        <v>46068</v>
      </c>
      <c r="B20" s="5" t="s">
        <v>8</v>
      </c>
      <c r="C20" s="37">
        <v>0.58333333333333337</v>
      </c>
      <c r="D20" s="37">
        <v>0.79166666666666663</v>
      </c>
      <c r="E20" s="6">
        <f t="shared" si="0"/>
        <v>5</v>
      </c>
      <c r="F20" s="7">
        <f t="shared" si="1"/>
        <v>2580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 x14ac:dyDescent="0.35">
      <c r="A21" s="4">
        <v>46069</v>
      </c>
      <c r="B21" s="5" t="s">
        <v>8</v>
      </c>
      <c r="C21" s="37">
        <v>0.33333333333333298</v>
      </c>
      <c r="D21" s="37">
        <v>0.625</v>
      </c>
      <c r="E21" s="6">
        <f t="shared" si="0"/>
        <v>7.0000000000000089</v>
      </c>
      <c r="F21" s="7">
        <f t="shared" si="1"/>
        <v>3612.0000000000045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 x14ac:dyDescent="0.35">
      <c r="A22" s="4">
        <v>46070</v>
      </c>
      <c r="B22" s="5" t="s">
        <v>8</v>
      </c>
      <c r="C22" s="37">
        <v>0.33333333333333298</v>
      </c>
      <c r="D22" s="37">
        <v>0.45833333333333331</v>
      </c>
      <c r="E22" s="6">
        <f t="shared" si="0"/>
        <v>3.0000000000000089</v>
      </c>
      <c r="F22" s="7">
        <f t="shared" si="1"/>
        <v>1548.0000000000045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 x14ac:dyDescent="0.35">
      <c r="A23" s="4">
        <v>46072</v>
      </c>
      <c r="B23" s="5" t="s">
        <v>9</v>
      </c>
      <c r="C23" s="37">
        <v>0.66666666666666696</v>
      </c>
      <c r="D23" s="37">
        <v>0.875</v>
      </c>
      <c r="E23" s="6">
        <f t="shared" si="0"/>
        <v>4.9999999999999929</v>
      </c>
      <c r="F23" s="7">
        <f t="shared" si="1"/>
        <v>2579.9999999999964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 x14ac:dyDescent="0.35">
      <c r="A24" s="4">
        <v>46073</v>
      </c>
      <c r="B24" s="5" t="s">
        <v>8</v>
      </c>
      <c r="C24" s="37">
        <v>0.33333333333333298</v>
      </c>
      <c r="D24" s="37">
        <v>0.70833333333333337</v>
      </c>
      <c r="E24" s="6">
        <f t="shared" si="0"/>
        <v>9.0000000000000089</v>
      </c>
      <c r="F24" s="7">
        <f t="shared" si="1"/>
        <v>4644.0000000000045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 x14ac:dyDescent="0.35">
      <c r="A25" s="4">
        <v>46075</v>
      </c>
      <c r="B25" s="5" t="s">
        <v>8</v>
      </c>
      <c r="C25" s="37">
        <v>0.5625</v>
      </c>
      <c r="D25" s="37">
        <v>0.79166666666666696</v>
      </c>
      <c r="E25" s="6">
        <f t="shared" si="0"/>
        <v>5.5000000000000071</v>
      </c>
      <c r="F25" s="7">
        <f t="shared" si="1"/>
        <v>2838.0000000000036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 x14ac:dyDescent="0.35">
      <c r="A26" s="4">
        <v>46076</v>
      </c>
      <c r="B26" s="5" t="s">
        <v>8</v>
      </c>
      <c r="C26" s="37">
        <v>0.33333333333333298</v>
      </c>
      <c r="D26" s="37">
        <v>0.625</v>
      </c>
      <c r="E26" s="6">
        <f t="shared" ref="E26:E27" si="4">ABS(C26*24-D26*24)</f>
        <v>7.0000000000000089</v>
      </c>
      <c r="F26" s="7">
        <f t="shared" si="1"/>
        <v>3612.0000000000045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5" customHeight="1" x14ac:dyDescent="0.35">
      <c r="A27" s="4">
        <v>46077</v>
      </c>
      <c r="B27" s="5" t="s">
        <v>8</v>
      </c>
      <c r="C27" s="37">
        <v>0.33333333333333298</v>
      </c>
      <c r="D27" s="37">
        <v>0.45833333333333331</v>
      </c>
      <c r="E27" s="6">
        <f t="shared" si="4"/>
        <v>3.0000000000000089</v>
      </c>
      <c r="F27" s="7">
        <f t="shared" ref="F27" si="5">E27*516</f>
        <v>1548.0000000000045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5" customHeight="1" x14ac:dyDescent="0.35">
      <c r="A28" s="4">
        <v>46078</v>
      </c>
      <c r="B28" s="5" t="s">
        <v>9</v>
      </c>
      <c r="C28" s="37">
        <v>0.33333333333333298</v>
      </c>
      <c r="D28" s="37">
        <v>0.58333333333333337</v>
      </c>
      <c r="E28" s="6">
        <f t="shared" ref="E28:E31" si="6">ABS(C28*24-D28*24)</f>
        <v>6.0000000000000089</v>
      </c>
      <c r="F28" s="7">
        <f t="shared" ref="F28:F31" si="7">E28*516</f>
        <v>3096.0000000000045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5" customHeight="1" x14ac:dyDescent="0.35">
      <c r="A29" s="4">
        <v>46078</v>
      </c>
      <c r="B29" s="5" t="s">
        <v>9</v>
      </c>
      <c r="C29" s="37">
        <v>0.66666666666666696</v>
      </c>
      <c r="D29" s="37">
        <v>0.875</v>
      </c>
      <c r="E29" s="6">
        <f t="shared" ref="E29:E30" si="8">ABS(C29*24-D29*24)</f>
        <v>4.9999999999999929</v>
      </c>
      <c r="F29" s="7">
        <f t="shared" ref="F29:F30" si="9">E29*516</f>
        <v>2579.9999999999964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5" customHeight="1" x14ac:dyDescent="0.35">
      <c r="A30" s="4">
        <v>46079</v>
      </c>
      <c r="B30" s="5" t="s">
        <v>8</v>
      </c>
      <c r="C30" s="37">
        <v>0.33333333333333298</v>
      </c>
      <c r="D30" s="37">
        <v>0.54166666666666663</v>
      </c>
      <c r="E30" s="6">
        <f t="shared" si="8"/>
        <v>5.0000000000000089</v>
      </c>
      <c r="F30" s="7">
        <f t="shared" si="9"/>
        <v>2580.0000000000045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5" customHeight="1" x14ac:dyDescent="0.35">
      <c r="A31" s="4">
        <v>46079</v>
      </c>
      <c r="B31" s="5" t="s">
        <v>9</v>
      </c>
      <c r="C31" s="37">
        <v>0.66666666666666696</v>
      </c>
      <c r="D31" s="37">
        <v>0.875</v>
      </c>
      <c r="E31" s="6">
        <f t="shared" si="6"/>
        <v>4.9999999999999929</v>
      </c>
      <c r="F31" s="7">
        <f t="shared" si="7"/>
        <v>2579.9999999999964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5" customHeight="1" x14ac:dyDescent="0.35">
      <c r="A32" s="4">
        <v>46080</v>
      </c>
      <c r="B32" s="5" t="s">
        <v>8</v>
      </c>
      <c r="C32" s="37">
        <v>0.33333333333333298</v>
      </c>
      <c r="D32" s="37">
        <v>0.70833333333333337</v>
      </c>
      <c r="E32" s="6">
        <f t="shared" si="0"/>
        <v>9.0000000000000089</v>
      </c>
      <c r="F32" s="7">
        <f t="shared" si="1"/>
        <v>4644.0000000000045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6" ht="14.25" customHeight="1" x14ac:dyDescent="0.35">
      <c r="A33" s="19" t="s">
        <v>10</v>
      </c>
      <c r="B33" s="19"/>
      <c r="C33" s="19"/>
      <c r="D33" s="19"/>
      <c r="E33" s="9">
        <f>SUM(E6:E32)</f>
        <v>155.50000000000011</v>
      </c>
      <c r="F33" s="7">
        <f t="shared" si="1"/>
        <v>80238.000000000058</v>
      </c>
    </row>
    <row r="34" spans="1:6" ht="14.25" customHeight="1" x14ac:dyDescent="0.35">
      <c r="A34" s="20" t="s">
        <v>23</v>
      </c>
      <c r="B34" s="20"/>
      <c r="C34" s="21" t="s">
        <v>11</v>
      </c>
      <c r="D34" s="21"/>
      <c r="E34" s="22" t="s">
        <v>12</v>
      </c>
      <c r="F34" s="22"/>
    </row>
    <row r="35" spans="1:6" ht="14.25" customHeight="1" x14ac:dyDescent="0.35">
      <c r="A35" s="20"/>
      <c r="B35" s="20"/>
      <c r="C35" s="21"/>
      <c r="D35" s="21"/>
      <c r="E35" s="22"/>
      <c r="F35" s="22"/>
    </row>
    <row r="36" spans="1:6" ht="14.25" customHeight="1" x14ac:dyDescent="0.35">
      <c r="A36" s="20"/>
      <c r="B36" s="20"/>
      <c r="C36" s="21"/>
      <c r="D36" s="21"/>
      <c r="E36" s="22"/>
      <c r="F36" s="22"/>
    </row>
    <row r="37" spans="1:6" ht="14.25" customHeight="1" x14ac:dyDescent="0.35">
      <c r="A37" s="20"/>
      <c r="B37" s="20"/>
      <c r="C37" s="21"/>
      <c r="D37" s="21"/>
      <c r="E37" s="22"/>
      <c r="F37" s="22"/>
    </row>
    <row r="38" spans="1:6" ht="14.25" customHeight="1" x14ac:dyDescent="0.35">
      <c r="A38" s="20"/>
      <c r="B38" s="20"/>
      <c r="C38" s="21"/>
      <c r="D38" s="21"/>
      <c r="E38" s="22"/>
      <c r="F38" s="22"/>
    </row>
    <row r="39" spans="1:6" ht="14.25" customHeight="1" x14ac:dyDescent="0.35">
      <c r="A39" s="20"/>
      <c r="B39" s="20"/>
      <c r="C39" s="21"/>
      <c r="D39" s="21"/>
      <c r="E39" s="22"/>
      <c r="F39" s="22"/>
    </row>
    <row r="40" spans="1:6" ht="14.25" customHeight="1" x14ac:dyDescent="0.35">
      <c r="A40" s="20"/>
      <c r="B40" s="20"/>
      <c r="C40" s="21"/>
      <c r="D40" s="21"/>
      <c r="E40" s="22"/>
      <c r="F40" s="22"/>
    </row>
    <row r="41" spans="1:6" ht="14.25" customHeight="1" x14ac:dyDescent="0.35">
      <c r="A41" s="23" t="s">
        <v>13</v>
      </c>
      <c r="B41" s="24"/>
      <c r="C41" s="23"/>
      <c r="D41" s="23"/>
      <c r="E41" s="23"/>
      <c r="F41" s="23"/>
    </row>
    <row r="42" spans="1:6" ht="14.25" customHeight="1" x14ac:dyDescent="0.35"/>
    <row r="43" spans="1:6" ht="14.25" customHeight="1" x14ac:dyDescent="0.35"/>
    <row r="44" spans="1:6" ht="14.25" customHeight="1" x14ac:dyDescent="0.35"/>
    <row r="45" spans="1:6" ht="14.25" customHeight="1" x14ac:dyDescent="0.35"/>
    <row r="46" spans="1:6" ht="14.25" customHeight="1" x14ac:dyDescent="0.35"/>
    <row r="47" spans="1:6" ht="14.25" customHeight="1" x14ac:dyDescent="0.35"/>
    <row r="48" spans="1:6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  <row r="1006" ht="14.25" customHeight="1" x14ac:dyDescent="0.35"/>
    <row r="1007" ht="14.25" customHeight="1" x14ac:dyDescent="0.35"/>
    <row r="1008" ht="14.25" customHeight="1" x14ac:dyDescent="0.35"/>
    <row r="1009" ht="14.25" customHeight="1" x14ac:dyDescent="0.35"/>
    <row r="1010" ht="14.25" customHeight="1" x14ac:dyDescent="0.35"/>
    <row r="1011" ht="14.25" customHeight="1" x14ac:dyDescent="0.35"/>
  </sheetData>
  <mergeCells count="11">
    <mergeCell ref="A1:B1"/>
    <mergeCell ref="C1:D1"/>
    <mergeCell ref="E1:F1"/>
    <mergeCell ref="A2:F2"/>
    <mergeCell ref="A3:B4"/>
    <mergeCell ref="C3:F4"/>
    <mergeCell ref="A33:D33"/>
    <mergeCell ref="A34:B40"/>
    <mergeCell ref="C34:D40"/>
    <mergeCell ref="E34:F40"/>
    <mergeCell ref="A41:F41"/>
  </mergeCells>
  <pageMargins left="0.7" right="0.7" top="0.75" bottom="0.75" header="0.511811023622047" footer="0.511811023622047"/>
  <pageSetup scale="9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zoomScaleNormal="100" workbookViewId="0">
      <selection activeCell="C8" sqref="C8"/>
    </sheetView>
  </sheetViews>
  <sheetFormatPr defaultColWidth="8.54296875" defaultRowHeight="14.5" x14ac:dyDescent="0.35"/>
  <cols>
    <col min="1" max="1" width="15.1796875" customWidth="1"/>
    <col min="2" max="2" width="52.7265625" customWidth="1"/>
    <col min="3" max="3" width="13" customWidth="1"/>
    <col min="4" max="4" width="12" customWidth="1"/>
    <col min="5" max="5" width="8.26953125" customWidth="1"/>
    <col min="6" max="6" width="9.26953125" customWidth="1"/>
  </cols>
  <sheetData>
    <row r="1" spans="1:7" ht="15" customHeight="1" x14ac:dyDescent="0.35">
      <c r="A1" s="25" t="s">
        <v>0</v>
      </c>
      <c r="B1" s="25"/>
      <c r="C1" s="33" t="s">
        <v>20</v>
      </c>
      <c r="D1" s="33"/>
      <c r="E1" s="27" t="s">
        <v>21</v>
      </c>
      <c r="F1" s="27"/>
    </row>
    <row r="2" spans="1:7" ht="57" customHeight="1" x14ac:dyDescent="0.35">
      <c r="A2" s="34" t="s">
        <v>14</v>
      </c>
      <c r="B2" s="34"/>
      <c r="C2" s="34"/>
      <c r="D2" s="34"/>
      <c r="E2" s="34"/>
      <c r="F2" s="34"/>
    </row>
    <row r="3" spans="1:7" ht="25.5" customHeight="1" x14ac:dyDescent="0.35">
      <c r="A3" s="35" t="s">
        <v>1</v>
      </c>
      <c r="B3" s="35"/>
      <c r="C3" s="36"/>
      <c r="D3" s="36"/>
      <c r="E3" s="36"/>
      <c r="F3" s="36"/>
    </row>
    <row r="4" spans="1:7" ht="51" customHeight="1" x14ac:dyDescent="0.35">
      <c r="A4" s="35"/>
      <c r="B4" s="35"/>
      <c r="C4" s="36"/>
      <c r="D4" s="36"/>
      <c r="E4" s="36"/>
      <c r="F4" s="36"/>
      <c r="G4" s="10"/>
    </row>
    <row r="5" spans="1:7" ht="34.5" x14ac:dyDescent="0.35">
      <c r="A5" s="11" t="s">
        <v>2</v>
      </c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  <c r="G5" s="10"/>
    </row>
    <row r="6" spans="1:7" x14ac:dyDescent="0.35">
      <c r="A6" s="12">
        <v>46070</v>
      </c>
      <c r="B6" s="13" t="s">
        <v>17</v>
      </c>
      <c r="C6" s="14">
        <v>0.75</v>
      </c>
      <c r="D6" s="14">
        <v>0.79166666666666663</v>
      </c>
      <c r="E6" s="15">
        <f>ABS(C6*24-D6*24)</f>
        <v>1</v>
      </c>
      <c r="F6" s="16">
        <f>E6*516</f>
        <v>516</v>
      </c>
      <c r="G6" s="10"/>
    </row>
    <row r="7" spans="1:7" x14ac:dyDescent="0.35">
      <c r="A7" s="12">
        <v>46078</v>
      </c>
      <c r="B7" s="13" t="s">
        <v>18</v>
      </c>
      <c r="C7" s="14">
        <v>0.75</v>
      </c>
      <c r="D7" s="14">
        <v>0.79166666666666663</v>
      </c>
      <c r="E7" s="15">
        <f>ABS(C7*24-D7*24)</f>
        <v>1</v>
      </c>
      <c r="F7" s="16">
        <f>E7*516</f>
        <v>516</v>
      </c>
      <c r="G7" s="10"/>
    </row>
    <row r="8" spans="1:7" x14ac:dyDescent="0.35">
      <c r="A8" s="12">
        <v>46079</v>
      </c>
      <c r="B8" s="13" t="s">
        <v>22</v>
      </c>
      <c r="C8" s="14">
        <v>0.54166666666666663</v>
      </c>
      <c r="D8" s="14">
        <v>0.625</v>
      </c>
      <c r="E8" s="15">
        <f>ABS(C8*24-D8*24)</f>
        <v>2</v>
      </c>
      <c r="F8" s="16">
        <f>E8*516</f>
        <v>1032</v>
      </c>
      <c r="G8" s="10"/>
    </row>
    <row r="9" spans="1:7" ht="18.75" customHeight="1" x14ac:dyDescent="0.35">
      <c r="A9" s="31" t="s">
        <v>10</v>
      </c>
      <c r="B9" s="31"/>
      <c r="C9" s="31"/>
      <c r="D9" s="31"/>
      <c r="E9" s="17">
        <f>SUM(E6:E8)</f>
        <v>4</v>
      </c>
      <c r="F9" s="16">
        <f>E9*516</f>
        <v>2064</v>
      </c>
      <c r="G9" s="18"/>
    </row>
    <row r="10" spans="1:7" ht="18.75" customHeight="1" x14ac:dyDescent="0.35">
      <c r="A10" s="20" t="s">
        <v>19</v>
      </c>
      <c r="B10" s="20"/>
      <c r="C10" s="22" t="s">
        <v>11</v>
      </c>
      <c r="D10" s="22"/>
      <c r="E10" s="22" t="s">
        <v>12</v>
      </c>
      <c r="F10" s="22"/>
      <c r="G10" s="18"/>
    </row>
    <row r="11" spans="1:7" x14ac:dyDescent="0.35">
      <c r="A11" s="20"/>
      <c r="B11" s="20"/>
      <c r="C11" s="22"/>
      <c r="D11" s="22"/>
      <c r="E11" s="22"/>
      <c r="F11" s="22"/>
      <c r="G11" s="10"/>
    </row>
    <row r="12" spans="1:7" x14ac:dyDescent="0.35">
      <c r="A12" s="20"/>
      <c r="B12" s="20"/>
      <c r="C12" s="22"/>
      <c r="D12" s="22"/>
      <c r="E12" s="22"/>
      <c r="F12" s="22"/>
      <c r="G12" s="18"/>
    </row>
    <row r="13" spans="1:7" x14ac:dyDescent="0.35">
      <c r="A13" s="20"/>
      <c r="B13" s="20"/>
      <c r="C13" s="22"/>
      <c r="D13" s="22"/>
      <c r="E13" s="22"/>
      <c r="F13" s="22"/>
      <c r="G13" s="18"/>
    </row>
    <row r="14" spans="1:7" x14ac:dyDescent="0.35">
      <c r="A14" s="20"/>
      <c r="B14" s="20"/>
      <c r="C14" s="22"/>
      <c r="D14" s="22"/>
      <c r="E14" s="22"/>
      <c r="F14" s="22"/>
    </row>
    <row r="15" spans="1:7" x14ac:dyDescent="0.35">
      <c r="A15" s="20"/>
      <c r="B15" s="20"/>
      <c r="C15" s="22"/>
      <c r="D15" s="22"/>
      <c r="E15" s="22"/>
      <c r="F15" s="22"/>
    </row>
    <row r="16" spans="1:7" ht="24.75" customHeight="1" x14ac:dyDescent="0.35">
      <c r="A16" s="20"/>
      <c r="B16" s="20"/>
      <c r="C16" s="22"/>
      <c r="D16" s="22"/>
      <c r="E16" s="22"/>
      <c r="F16" s="22"/>
    </row>
    <row r="17" spans="1:6" x14ac:dyDescent="0.35">
      <c r="A17" s="32" t="s">
        <v>13</v>
      </c>
      <c r="B17" s="32"/>
      <c r="C17" s="32"/>
      <c r="D17" s="32"/>
      <c r="E17" s="32"/>
      <c r="F17" s="32"/>
    </row>
  </sheetData>
  <mergeCells count="11">
    <mergeCell ref="A1:B1"/>
    <mergeCell ref="C1:D1"/>
    <mergeCell ref="E1:F1"/>
    <mergeCell ref="A2:F2"/>
    <mergeCell ref="A3:B4"/>
    <mergeCell ref="C3:F4"/>
    <mergeCell ref="A9:D9"/>
    <mergeCell ref="A10:B16"/>
    <mergeCell ref="C10:D16"/>
    <mergeCell ref="E10:F16"/>
    <mergeCell ref="A17:F17"/>
  </mergeCells>
  <pageMargins left="0.7" right="0.7" top="0.75" bottom="0.75" header="0.511811023622047" footer="0.511811023622047"/>
  <pageSetup scale="81" orientation="portrait" horizontalDpi="300" verticalDpi="300"/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247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February</vt:lpstr>
      <vt:lpstr>Events</vt:lpstr>
      <vt:lpstr>Events!Print_Area</vt:lpstr>
      <vt:lpstr>February!Print_Area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Howlett</dc:creator>
  <dc:description/>
  <cp:lastModifiedBy>Jevoun Tyrell</cp:lastModifiedBy>
  <cp:revision>9</cp:revision>
  <cp:lastPrinted>2026-03-05T22:13:25Z</cp:lastPrinted>
  <dcterms:created xsi:type="dcterms:W3CDTF">2020-01-07T19:06:51Z</dcterms:created>
  <dcterms:modified xsi:type="dcterms:W3CDTF">2026-03-08T04:07:23Z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